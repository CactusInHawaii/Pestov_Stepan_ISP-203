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2 курс ВятГу\Информатика\ПР 5\"/>
    </mc:Choice>
  </mc:AlternateContent>
  <xr:revisionPtr revIDLastSave="0" documentId="13_ncr:1_{B6A8E102-D5F8-45A7-8C14-A79411DD00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C1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</calcChain>
</file>

<file path=xl/sharedStrings.xml><?xml version="1.0" encoding="utf-8"?>
<sst xmlns="http://schemas.openxmlformats.org/spreadsheetml/2006/main" count="48" uniqueCount="14">
  <si>
    <t>Товар</t>
  </si>
  <si>
    <t>Поставщик</t>
  </si>
  <si>
    <t>Вес, т</t>
  </si>
  <si>
    <t>Затраты</t>
  </si>
  <si>
    <t>Дата отгрузки</t>
  </si>
  <si>
    <t>Выручка</t>
  </si>
  <si>
    <t>Прибыль</t>
  </si>
  <si>
    <t>Текущая дата</t>
  </si>
  <si>
    <t>Баунти</t>
  </si>
  <si>
    <t>Орион</t>
  </si>
  <si>
    <t>Ланта</t>
  </si>
  <si>
    <t>Марс</t>
  </si>
  <si>
    <t>Сникерс</t>
  </si>
  <si>
    <t>Твикс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</si>
</sst>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F1115"/>
      <name val="Times New Roman"/>
      <family val="1"/>
      <charset val="204"/>
    </font>
    <font>
      <sz val="8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164" fontId="2" fillId="0" borderId="1" xfId="0" applyNumberFormat="1" applyFont="1" applyBorder="1" applyAlignment="1">
      <alignment horizontal="left" vertical="center" wrapText="1" indent="1"/>
    </xf>
    <xf numFmtId="14" fontId="2" fillId="0" borderId="1" xfId="0" applyNumberFormat="1" applyFont="1" applyBorder="1" applyAlignment="1">
      <alignment horizontal="left" vertical="center" wrapText="1" indent="1"/>
    </xf>
  </cellXfs>
  <cellStyles count="1">
    <cellStyle name="Обычный" xfId="0" builtinId="0"/>
  </cellStyles>
  <dxfs count="4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E$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0</xdr:row>
          <xdr:rowOff>85725</xdr:rowOff>
        </xdr:from>
        <xdr:to>
          <xdr:col>5</xdr:col>
          <xdr:colOff>333375</xdr:colOff>
          <xdr:row>0</xdr:row>
          <xdr:rowOff>400050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Подсветка сроков 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H23"/>
  <sheetViews>
    <sheetView tabSelected="1" workbookViewId="0">
      <selection activeCell="L5" sqref="L5"/>
    </sheetView>
  </sheetViews>
  <sheetFormatPr defaultColWidth="19.42578125" defaultRowHeight="18.75" x14ac:dyDescent="0.3"/>
  <cols>
    <col min="1" max="16384" width="19.42578125" style="1"/>
  </cols>
  <sheetData>
    <row r="1" spans="1:8" ht="37.5" x14ac:dyDescent="0.3">
      <c r="B1" s="3" t="s">
        <v>7</v>
      </c>
      <c r="C1" s="4">
        <f ca="1">TODAY()</f>
        <v>45999</v>
      </c>
    </row>
    <row r="2" spans="1:8" x14ac:dyDescent="0.3">
      <c r="E2" s="1" t="b">
        <v>0</v>
      </c>
    </row>
    <row r="3" spans="1:8" ht="37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1:8" ht="37.5" x14ac:dyDescent="0.3">
      <c r="A4" s="5" t="s">
        <v>8</v>
      </c>
      <c r="B4" s="5" t="s">
        <v>9</v>
      </c>
      <c r="C4" s="5">
        <v>51.7</v>
      </c>
      <c r="D4" s="6">
        <v>163625</v>
      </c>
      <c r="E4" s="7">
        <f ca="1">TODAY()-75</f>
        <v>45924</v>
      </c>
      <c r="F4" s="6">
        <v>189299</v>
      </c>
      <c r="G4" s="6">
        <f>F4-D4</f>
        <v>25674</v>
      </c>
    </row>
    <row r="5" spans="1:8" x14ac:dyDescent="0.3">
      <c r="A5" s="5" t="s">
        <v>8</v>
      </c>
      <c r="B5" s="5" t="s">
        <v>10</v>
      </c>
      <c r="C5" s="5">
        <v>88.5</v>
      </c>
      <c r="D5" s="6">
        <v>366520</v>
      </c>
      <c r="E5" s="7">
        <f ca="1">TODAY()-75</f>
        <v>45924</v>
      </c>
      <c r="F5" s="6">
        <v>424741</v>
      </c>
      <c r="G5" s="6">
        <f t="shared" ref="G5:G23" si="0">F5-D5</f>
        <v>58221</v>
      </c>
    </row>
    <row r="6" spans="1:8" x14ac:dyDescent="0.3">
      <c r="A6" s="5" t="s">
        <v>11</v>
      </c>
      <c r="B6" s="5" t="s">
        <v>9</v>
      </c>
      <c r="C6" s="5">
        <v>34.200000000000003</v>
      </c>
      <c r="D6" s="6">
        <v>98500</v>
      </c>
      <c r="E6" s="7">
        <f ca="1">TODAY()-45</f>
        <v>45954</v>
      </c>
      <c r="F6" s="6">
        <v>115000</v>
      </c>
      <c r="G6" s="6">
        <f t="shared" si="0"/>
        <v>16500</v>
      </c>
      <c r="H6" s="2"/>
    </row>
    <row r="7" spans="1:8" x14ac:dyDescent="0.3">
      <c r="A7" s="5" t="s">
        <v>12</v>
      </c>
      <c r="B7" s="5" t="s">
        <v>10</v>
      </c>
      <c r="C7" s="5">
        <v>67.8</v>
      </c>
      <c r="D7" s="6">
        <v>245000</v>
      </c>
      <c r="E7" s="7">
        <f ca="1">TODAY()-30</f>
        <v>45969</v>
      </c>
      <c r="F7" s="6">
        <v>280000</v>
      </c>
      <c r="G7" s="6">
        <f t="shared" si="0"/>
        <v>35000</v>
      </c>
      <c r="H7" s="2"/>
    </row>
    <row r="8" spans="1:8" x14ac:dyDescent="0.3">
      <c r="A8" s="5" t="s">
        <v>13</v>
      </c>
      <c r="B8" s="5" t="s">
        <v>9</v>
      </c>
      <c r="C8" s="5">
        <v>45.3</v>
      </c>
      <c r="D8" s="6">
        <v>132000</v>
      </c>
      <c r="E8" s="7">
        <f ca="1">TODAY()-15</f>
        <v>45984</v>
      </c>
      <c r="F8" s="6">
        <v>150000</v>
      </c>
      <c r="G8" s="6">
        <f t="shared" si="0"/>
        <v>18000</v>
      </c>
      <c r="H8" s="2"/>
    </row>
    <row r="9" spans="1:8" x14ac:dyDescent="0.3">
      <c r="A9" s="5" t="s">
        <v>8</v>
      </c>
      <c r="B9" s="5" t="s">
        <v>9</v>
      </c>
      <c r="C9" s="5">
        <v>60</v>
      </c>
      <c r="D9" s="6">
        <v>180000</v>
      </c>
      <c r="E9" s="7">
        <f ca="1">TODAY()-7</f>
        <v>45992</v>
      </c>
      <c r="F9" s="6">
        <v>210000</v>
      </c>
      <c r="G9" s="6">
        <f t="shared" si="0"/>
        <v>30000</v>
      </c>
      <c r="H9" s="2"/>
    </row>
    <row r="10" spans="1:8" x14ac:dyDescent="0.3">
      <c r="A10" s="5" t="s">
        <v>11</v>
      </c>
      <c r="B10" s="5" t="s">
        <v>10</v>
      </c>
      <c r="C10" s="5">
        <v>55.5</v>
      </c>
      <c r="D10" s="6">
        <v>167000</v>
      </c>
      <c r="E10" s="7">
        <f ca="1">TODAY()-3</f>
        <v>45996</v>
      </c>
      <c r="F10" s="6">
        <v>195000</v>
      </c>
      <c r="G10" s="6">
        <f t="shared" si="0"/>
        <v>28000</v>
      </c>
    </row>
    <row r="11" spans="1:8" x14ac:dyDescent="0.3">
      <c r="A11" s="5" t="s">
        <v>12</v>
      </c>
      <c r="B11" s="5" t="s">
        <v>9</v>
      </c>
      <c r="C11" s="5">
        <v>42.1</v>
      </c>
      <c r="D11" s="6">
        <v>125000</v>
      </c>
      <c r="E11" s="7">
        <f ca="1">TODAY()-1</f>
        <v>45998</v>
      </c>
      <c r="F11" s="6">
        <v>145000</v>
      </c>
      <c r="G11" s="6">
        <f t="shared" si="0"/>
        <v>20000</v>
      </c>
    </row>
    <row r="12" spans="1:8" x14ac:dyDescent="0.3">
      <c r="A12" s="5" t="s">
        <v>13</v>
      </c>
      <c r="B12" s="5" t="s">
        <v>10</v>
      </c>
      <c r="C12" s="5">
        <v>70</v>
      </c>
      <c r="D12" s="6">
        <v>210000</v>
      </c>
      <c r="E12" s="7">
        <f ca="1">TODAY()</f>
        <v>45999</v>
      </c>
      <c r="F12" s="6">
        <v>245000</v>
      </c>
      <c r="G12" s="6">
        <f t="shared" si="0"/>
        <v>35000</v>
      </c>
    </row>
    <row r="13" spans="1:8" x14ac:dyDescent="0.3">
      <c r="A13" s="5" t="s">
        <v>8</v>
      </c>
      <c r="B13" s="5" t="s">
        <v>9</v>
      </c>
      <c r="C13" s="5">
        <v>33.299999999999997</v>
      </c>
      <c r="D13" s="6">
        <v>100000</v>
      </c>
      <c r="E13" s="7">
        <f ca="1">TODAY()+1</f>
        <v>46000</v>
      </c>
      <c r="F13" s="6">
        <v>117000</v>
      </c>
      <c r="G13" s="6">
        <f t="shared" si="0"/>
        <v>17000</v>
      </c>
    </row>
    <row r="14" spans="1:8" x14ac:dyDescent="0.3">
      <c r="A14" s="5" t="s">
        <v>11</v>
      </c>
      <c r="B14" s="5" t="s">
        <v>10</v>
      </c>
      <c r="C14" s="5">
        <v>48.9</v>
      </c>
      <c r="D14" s="6">
        <v>147000</v>
      </c>
      <c r="E14" s="7">
        <f ca="1">TODAY()+2</f>
        <v>46001</v>
      </c>
      <c r="F14" s="6">
        <v>172000</v>
      </c>
      <c r="G14" s="6">
        <f t="shared" si="0"/>
        <v>25000</v>
      </c>
    </row>
    <row r="15" spans="1:8" x14ac:dyDescent="0.3">
      <c r="A15" s="5" t="s">
        <v>12</v>
      </c>
      <c r="B15" s="5" t="s">
        <v>9</v>
      </c>
      <c r="C15" s="5">
        <v>66.599999999999994</v>
      </c>
      <c r="D15" s="6">
        <v>200000</v>
      </c>
      <c r="E15" s="7">
        <f ca="1">TODAY()+4</f>
        <v>46003</v>
      </c>
      <c r="F15" s="6">
        <v>234000</v>
      </c>
      <c r="G15" s="6">
        <f t="shared" si="0"/>
        <v>34000</v>
      </c>
    </row>
    <row r="16" spans="1:8" x14ac:dyDescent="0.3">
      <c r="A16" s="5" t="s">
        <v>13</v>
      </c>
      <c r="B16" s="5" t="s">
        <v>10</v>
      </c>
      <c r="C16" s="5">
        <v>39.799999999999997</v>
      </c>
      <c r="D16" s="6">
        <v>120000</v>
      </c>
      <c r="E16" s="7">
        <f ca="1">TODAY()+7</f>
        <v>46006</v>
      </c>
      <c r="F16" s="6">
        <v>140000</v>
      </c>
      <c r="G16" s="6">
        <f t="shared" si="0"/>
        <v>20000</v>
      </c>
    </row>
    <row r="17" spans="1:7" x14ac:dyDescent="0.3">
      <c r="A17" s="5" t="s">
        <v>8</v>
      </c>
      <c r="B17" s="5" t="s">
        <v>9</v>
      </c>
      <c r="C17" s="5">
        <v>90</v>
      </c>
      <c r="D17" s="6">
        <v>270000</v>
      </c>
      <c r="E17" s="7">
        <f ca="1">TODAY()+30</f>
        <v>46029</v>
      </c>
      <c r="F17" s="6">
        <v>315000</v>
      </c>
      <c r="G17" s="6">
        <f t="shared" si="0"/>
        <v>45000</v>
      </c>
    </row>
    <row r="18" spans="1:7" x14ac:dyDescent="0.3">
      <c r="A18" s="5" t="s">
        <v>11</v>
      </c>
      <c r="B18" s="5" t="s">
        <v>10</v>
      </c>
      <c r="C18" s="5">
        <v>77.7</v>
      </c>
      <c r="D18" s="6">
        <v>233100</v>
      </c>
      <c r="E18" s="7">
        <f ca="1">TODAY()+60</f>
        <v>46059</v>
      </c>
      <c r="F18" s="6">
        <v>272000</v>
      </c>
      <c r="G18" s="6">
        <f t="shared" si="0"/>
        <v>38900</v>
      </c>
    </row>
    <row r="19" spans="1:7" x14ac:dyDescent="0.3">
      <c r="A19" s="5" t="s">
        <v>12</v>
      </c>
      <c r="B19" s="5" t="s">
        <v>9</v>
      </c>
      <c r="C19" s="5">
        <v>55</v>
      </c>
      <c r="D19" s="6">
        <v>165000</v>
      </c>
      <c r="E19" s="7">
        <f ca="1">TODAY()+90</f>
        <v>46089</v>
      </c>
      <c r="F19" s="6">
        <v>193000</v>
      </c>
      <c r="G19" s="6">
        <f t="shared" si="0"/>
        <v>28000</v>
      </c>
    </row>
    <row r="20" spans="1:7" x14ac:dyDescent="0.3">
      <c r="A20" s="5" t="s">
        <v>13</v>
      </c>
      <c r="B20" s="5" t="s">
        <v>10</v>
      </c>
      <c r="C20" s="5">
        <v>85</v>
      </c>
      <c r="D20" s="6">
        <v>255000</v>
      </c>
      <c r="E20" s="7">
        <f ca="1">TODAY()+120</f>
        <v>46119</v>
      </c>
      <c r="F20" s="6">
        <v>298000</v>
      </c>
      <c r="G20" s="6">
        <f t="shared" si="0"/>
        <v>43000</v>
      </c>
    </row>
    <row r="21" spans="1:7" x14ac:dyDescent="0.3">
      <c r="A21" s="5" t="s">
        <v>8</v>
      </c>
      <c r="B21" s="5" t="s">
        <v>9</v>
      </c>
      <c r="C21" s="5">
        <v>44.4</v>
      </c>
      <c r="D21" s="6">
        <v>133200</v>
      </c>
      <c r="E21" s="7">
        <f ca="1">TODAY()+150</f>
        <v>46149</v>
      </c>
      <c r="F21" s="6">
        <v>156000</v>
      </c>
      <c r="G21" s="6">
        <f t="shared" si="0"/>
        <v>22800</v>
      </c>
    </row>
    <row r="22" spans="1:7" x14ac:dyDescent="0.3">
      <c r="A22" s="5" t="s">
        <v>11</v>
      </c>
      <c r="B22" s="5" t="s">
        <v>10</v>
      </c>
      <c r="C22" s="5">
        <v>63.2</v>
      </c>
      <c r="D22" s="6">
        <v>189600</v>
      </c>
      <c r="E22" s="7">
        <f ca="1">TODAY()+180</f>
        <v>46179</v>
      </c>
      <c r="F22" s="6">
        <v>222000</v>
      </c>
      <c r="G22" s="6">
        <f t="shared" si="0"/>
        <v>32400</v>
      </c>
    </row>
    <row r="23" spans="1:7" x14ac:dyDescent="0.3">
      <c r="A23" s="5" t="s">
        <v>12</v>
      </c>
      <c r="B23" s="5" t="s">
        <v>9</v>
      </c>
      <c r="C23" s="5">
        <v>72.5</v>
      </c>
      <c r="D23" s="6">
        <v>217500</v>
      </c>
      <c r="E23" s="7">
        <f ca="1">TODAY()+210</f>
        <v>46209</v>
      </c>
      <c r="F23" s="6">
        <v>254000</v>
      </c>
      <c r="G23" s="6">
        <f t="shared" si="0"/>
        <v>36500</v>
      </c>
    </row>
  </sheetData>
  <conditionalFormatting sqref="E4:E23">
    <cfRule type="expression" dxfId="0" priority="5">
      <formula>$E$4:$E$23=TODAY()</formula>
    </cfRule>
    <cfRule type="cellIs" dxfId="1" priority="4" operator="equal">
      <formula>TODAY()</formula>
    </cfRule>
    <cfRule type="cellIs" dxfId="2" priority="3" operator="greaterThan">
      <formula>TODAY()</formula>
    </cfRule>
    <cfRule type="cellIs" dxfId="3" priority="2" operator="lessThan">
      <formula>TODAY()</formula>
    </cfRule>
    <cfRule type="expression" priority="1" stopIfTrue="1">
      <formula>$E$2&lt;&gt;TRUE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4</xdr:col>
                    <xdr:colOff>180975</xdr:colOff>
                    <xdr:row>0</xdr:row>
                    <xdr:rowOff>85725</xdr:rowOff>
                  </from>
                  <to>
                    <xdr:col>5</xdr:col>
                    <xdr:colOff>333375</xdr:colOff>
                    <xdr:row>0</xdr:row>
                    <xdr:rowOff>400050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Пестов Степан Иванович</cp:lastModifiedBy>
  <dcterms:created xsi:type="dcterms:W3CDTF">2015-06-05T18:19:34Z</dcterms:created>
  <dcterms:modified xsi:type="dcterms:W3CDTF">2025-12-08T20:19:26Z</dcterms:modified>
</cp:coreProperties>
</file>