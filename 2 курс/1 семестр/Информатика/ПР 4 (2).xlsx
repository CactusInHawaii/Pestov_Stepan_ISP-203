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2 курс ВятГу\Информатика\"/>
    </mc:Choice>
  </mc:AlternateContent>
  <xr:revisionPtr revIDLastSave="0" documentId="13_ncr:1_{09A46343-C260-4405-AF2D-F56FEC9E2C7D}" xr6:coauthVersionLast="36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Закупки" sheetId="1" r:id="rId1"/>
    <sheet name="График" sheetId="2" r:id="rId2"/>
    <sheet name="Аттестация" sheetId="3" r:id="rId3"/>
    <sheet name="фун.даты" sheetId="4" r:id="rId4"/>
    <sheet name="фун.лог" sheetId="5" r:id="rId5"/>
    <sheet name="ведомость" sheetId="6" r:id="rId6"/>
    <sheet name="Лист2" sheetId="8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3" l="1"/>
  <c r="G7" i="3"/>
  <c r="G8" i="3"/>
  <c r="F2" i="8" l="1"/>
  <c r="G2" i="8" s="1"/>
  <c r="F3" i="8"/>
  <c r="G3" i="8" s="1"/>
  <c r="F4" i="8"/>
  <c r="G4" i="8" s="1"/>
  <c r="F5" i="8"/>
  <c r="G5" i="8" s="1"/>
  <c r="F6" i="8"/>
  <c r="G6" i="8" s="1"/>
  <c r="F7" i="8"/>
  <c r="G7" i="8" s="1"/>
  <c r="F8" i="8"/>
  <c r="G8" i="8" s="1"/>
  <c r="F9" i="8"/>
  <c r="G9" i="8" s="1"/>
  <c r="F10" i="8"/>
  <c r="G10" i="8" s="1"/>
  <c r="F11" i="8"/>
  <c r="G11" i="8" s="1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C3" i="6"/>
  <c r="C4" i="6"/>
  <c r="C5" i="6"/>
  <c r="C6" i="6"/>
  <c r="C7" i="6"/>
  <c r="C8" i="6"/>
  <c r="C9" i="6"/>
  <c r="C10" i="6"/>
  <c r="C11" i="6"/>
  <c r="C2" i="6"/>
  <c r="F2" i="6" s="1"/>
  <c r="H2" i="6" s="1"/>
  <c r="A1" i="5"/>
  <c r="B1" i="5" s="1"/>
  <c r="A8" i="4"/>
  <c r="A7" i="4"/>
  <c r="A6" i="4"/>
  <c r="A4" i="4"/>
  <c r="A3" i="4"/>
  <c r="A2" i="4"/>
  <c r="A1" i="4"/>
  <c r="D3" i="3"/>
  <c r="E3" i="3"/>
  <c r="F3" i="3"/>
  <c r="G3" i="3"/>
  <c r="H3" i="3"/>
  <c r="I3" i="3"/>
  <c r="J3" i="3"/>
  <c r="D4" i="3"/>
  <c r="E4" i="3"/>
  <c r="F4" i="3"/>
  <c r="G4" i="3"/>
  <c r="H4" i="3"/>
  <c r="I4" i="3"/>
  <c r="J4" i="3"/>
  <c r="D5" i="3"/>
  <c r="E5" i="3"/>
  <c r="F5" i="3"/>
  <c r="G5" i="3"/>
  <c r="H5" i="3"/>
  <c r="I5" i="3"/>
  <c r="J5" i="3"/>
  <c r="D6" i="3"/>
  <c r="E6" i="3"/>
  <c r="F6" i="3"/>
  <c r="H6" i="3"/>
  <c r="I6" i="3"/>
  <c r="J6" i="3"/>
  <c r="D7" i="3"/>
  <c r="E7" i="3"/>
  <c r="F7" i="3"/>
  <c r="H7" i="3"/>
  <c r="I7" i="3"/>
  <c r="J7" i="3"/>
  <c r="D8" i="3"/>
  <c r="E8" i="3"/>
  <c r="F8" i="3"/>
  <c r="H8" i="3"/>
  <c r="I8" i="3"/>
  <c r="J8" i="3"/>
  <c r="D9" i="3"/>
  <c r="E9" i="3"/>
  <c r="F9" i="3"/>
  <c r="G9" i="3"/>
  <c r="H9" i="3"/>
  <c r="I9" i="3"/>
  <c r="J9" i="3"/>
  <c r="D10" i="3"/>
  <c r="E10" i="3"/>
  <c r="F10" i="3"/>
  <c r="G10" i="3"/>
  <c r="H10" i="3"/>
  <c r="I10" i="3"/>
  <c r="J10" i="3"/>
  <c r="D11" i="3"/>
  <c r="E11" i="3"/>
  <c r="F11" i="3"/>
  <c r="G11" i="3"/>
  <c r="H11" i="3"/>
  <c r="I11" i="3"/>
  <c r="J11" i="3"/>
  <c r="E2" i="3"/>
  <c r="F2" i="3"/>
  <c r="G2" i="3"/>
  <c r="H2" i="3"/>
  <c r="I2" i="3"/>
  <c r="J2" i="3"/>
  <c r="D2" i="3"/>
  <c r="B3" i="3"/>
  <c r="B4" i="3"/>
  <c r="B5" i="3"/>
  <c r="B6" i="3"/>
  <c r="B7" i="3"/>
  <c r="B8" i="3"/>
  <c r="B9" i="3"/>
  <c r="B10" i="3"/>
  <c r="B11" i="3"/>
  <c r="B2" i="3"/>
  <c r="C29" i="8" l="1"/>
  <c r="C30" i="8"/>
  <c r="C24" i="8"/>
  <c r="C28" i="8"/>
  <c r="C25" i="8"/>
  <c r="C23" i="8"/>
  <c r="C22" i="8"/>
  <c r="C18" i="8"/>
  <c r="C16" i="8"/>
  <c r="C14" i="8"/>
  <c r="F6" i="6"/>
  <c r="H6" i="6" s="1"/>
  <c r="F3" i="6"/>
  <c r="H3" i="6" s="1"/>
  <c r="F10" i="6"/>
  <c r="H10" i="6" s="1"/>
  <c r="F5" i="6"/>
  <c r="H5" i="6" s="1"/>
  <c r="F9" i="6"/>
  <c r="H9" i="6" s="1"/>
  <c r="F8" i="6"/>
  <c r="H8" i="6" s="1"/>
  <c r="F4" i="6"/>
  <c r="H4" i="6" s="1"/>
  <c r="F11" i="6"/>
  <c r="H11" i="6" s="1"/>
  <c r="F7" i="6"/>
  <c r="H7" i="6" s="1"/>
  <c r="B3" i="2"/>
  <c r="B2" i="2"/>
  <c r="C2" i="2" s="1"/>
  <c r="G9" i="6" l="1"/>
  <c r="G5" i="6"/>
  <c r="G10" i="6"/>
  <c r="G3" i="6"/>
  <c r="G7" i="6"/>
  <c r="G6" i="6"/>
  <c r="G8" i="6"/>
  <c r="G11" i="6"/>
  <c r="G4" i="6"/>
  <c r="G2" i="6"/>
  <c r="C3" i="2"/>
  <c r="D2" i="2"/>
  <c r="D4" i="1"/>
  <c r="F4" i="1" s="1"/>
  <c r="D5" i="1"/>
  <c r="F5" i="1" s="1"/>
  <c r="D6" i="1"/>
  <c r="F6" i="1" s="1"/>
  <c r="D7" i="1"/>
  <c r="F7" i="1" s="1"/>
  <c r="D8" i="1"/>
  <c r="F8" i="1" s="1"/>
  <c r="D9" i="1"/>
  <c r="F9" i="1" s="1"/>
  <c r="D3" i="1"/>
  <c r="F3" i="1" s="1"/>
  <c r="C4" i="1"/>
  <c r="C5" i="1"/>
  <c r="C6" i="1"/>
  <c r="C7" i="1"/>
  <c r="C8" i="1"/>
  <c r="C9" i="1"/>
  <c r="C3" i="1"/>
  <c r="E2" i="2" l="1"/>
  <c r="D3" i="2"/>
  <c r="G19" i="1"/>
  <c r="G7" i="1"/>
  <c r="G15" i="1"/>
  <c r="G5" i="1"/>
  <c r="G3" i="1"/>
  <c r="G8" i="1"/>
  <c r="G6" i="1"/>
  <c r="G9" i="1"/>
  <c r="G4" i="1"/>
  <c r="E6" i="1"/>
  <c r="E9" i="1"/>
  <c r="E8" i="1"/>
  <c r="E7" i="1"/>
  <c r="E5" i="1"/>
  <c r="E4" i="1"/>
  <c r="E3" i="1"/>
  <c r="F2" i="2" l="1"/>
  <c r="E3" i="2"/>
  <c r="G17" i="1"/>
  <c r="G13" i="1"/>
  <c r="G11" i="1"/>
  <c r="G2" i="2" l="1"/>
  <c r="F3" i="2"/>
  <c r="H2" i="2" l="1"/>
  <c r="G3" i="2"/>
  <c r="I2" i="2" l="1"/>
  <c r="H3" i="2"/>
  <c r="J2" i="2" l="1"/>
  <c r="I3" i="2"/>
  <c r="K2" i="2" l="1"/>
  <c r="J3" i="2"/>
  <c r="L2" i="2" l="1"/>
  <c r="K3" i="2"/>
  <c r="M2" i="2" l="1"/>
  <c r="L3" i="2"/>
  <c r="N2" i="2" l="1"/>
  <c r="M3" i="2"/>
  <c r="O2" i="2" l="1"/>
  <c r="N3" i="2"/>
  <c r="P2" i="2" l="1"/>
  <c r="O3" i="2"/>
  <c r="Q2" i="2" l="1"/>
  <c r="P3" i="2"/>
  <c r="R2" i="2" l="1"/>
  <c r="Q3" i="2"/>
  <c r="S2" i="2" l="1"/>
  <c r="R3" i="2"/>
  <c r="T2" i="2" l="1"/>
  <c r="S3" i="2"/>
  <c r="U2" i="2" l="1"/>
  <c r="T3" i="2"/>
  <c r="V2" i="2" l="1"/>
  <c r="U3" i="2"/>
  <c r="W2" i="2" l="1"/>
  <c r="V3" i="2"/>
  <c r="X2" i="2" l="1"/>
  <c r="W3" i="2"/>
  <c r="Y2" i="2" l="1"/>
  <c r="X3" i="2"/>
  <c r="Z2" i="2" l="1"/>
  <c r="Y3" i="2"/>
  <c r="AA2" i="2" l="1"/>
  <c r="Z3" i="2"/>
  <c r="AB2" i="2" l="1"/>
  <c r="AA3" i="2"/>
  <c r="AC2" i="2" l="1"/>
  <c r="AB3" i="2"/>
  <c r="AD2" i="2" l="1"/>
  <c r="AC3" i="2"/>
  <c r="AE2" i="2" l="1"/>
  <c r="AD3" i="2"/>
  <c r="AF2" i="2" l="1"/>
  <c r="AE3" i="2"/>
  <c r="AG2" i="2" l="1"/>
  <c r="AF3" i="2"/>
  <c r="AH2" i="2" l="1"/>
  <c r="AG3" i="2"/>
  <c r="AI2" i="2" l="1"/>
  <c r="AH3" i="2"/>
  <c r="AJ2" i="2" l="1"/>
  <c r="AI3" i="2"/>
  <c r="AJ3" i="2" l="1"/>
  <c r="AK2" i="2"/>
  <c r="AK3" i="2" l="1"/>
  <c r="AL2" i="2"/>
  <c r="AM2" i="2" l="1"/>
  <c r="AL3" i="2"/>
  <c r="AN2" i="2" l="1"/>
  <c r="AM3" i="2"/>
  <c r="AO2" i="2" l="1"/>
  <c r="AN3" i="2"/>
  <c r="AP2" i="2" l="1"/>
  <c r="AO3" i="2"/>
  <c r="AQ2" i="2" l="1"/>
  <c r="AP3" i="2"/>
  <c r="AR2" i="2" l="1"/>
  <c r="AQ3" i="2"/>
  <c r="AS2" i="2" l="1"/>
  <c r="AR3" i="2"/>
  <c r="AT2" i="2" l="1"/>
  <c r="AS3" i="2"/>
  <c r="AU2" i="2" l="1"/>
  <c r="AU3" i="2" s="1"/>
  <c r="AT3" i="2"/>
</calcChain>
</file>

<file path=xl/sharedStrings.xml><?xml version="1.0" encoding="utf-8"?>
<sst xmlns="http://schemas.openxmlformats.org/spreadsheetml/2006/main" count="106" uniqueCount="91">
  <si>
    <t>№</t>
  </si>
  <si>
    <t>Вид техники</t>
  </si>
  <si>
    <t>Количество, шт.</t>
  </si>
  <si>
    <t>Цена, $</t>
  </si>
  <si>
    <t xml:space="preserve"> Общая стоимость закупки, $</t>
  </si>
  <si>
    <t xml:space="preserve"> Общая стоимость закупки, руб.</t>
  </si>
  <si>
    <t xml:space="preserve"> Цена, руб.</t>
  </si>
  <si>
    <t>МФУ</t>
  </si>
  <si>
    <t>Ноутбук</t>
  </si>
  <si>
    <t>Wi-fi роутер</t>
  </si>
  <si>
    <t>Web-камера</t>
  </si>
  <si>
    <t>Мышь беспроводная</t>
  </si>
  <si>
    <t xml:space="preserve"> Стол компьютерный</t>
  </si>
  <si>
    <t xml:space="preserve"> Стул компьютерный</t>
  </si>
  <si>
    <t>Информация о закупках</t>
  </si>
  <si>
    <t>ИТОГО, $</t>
  </si>
  <si>
    <t>ИТОГО, руб</t>
  </si>
  <si>
    <t>Средняя цена товара в чеке</t>
  </si>
  <si>
    <t>Минимальная стоимость закупки в руб</t>
  </si>
  <si>
    <t>Минимальна стоимость в $</t>
  </si>
  <si>
    <t>Курс доллара</t>
  </si>
  <si>
    <t>Шаг</t>
  </si>
  <si>
    <t>x</t>
  </si>
  <si>
    <t>y</t>
  </si>
  <si>
    <t>x1=</t>
  </si>
  <si>
    <t>№ п/п</t>
  </si>
  <si>
    <t>группа</t>
  </si>
  <si>
    <t>студент</t>
  </si>
  <si>
    <t>физика</t>
  </si>
  <si>
    <t>математика</t>
  </si>
  <si>
    <t>информатика</t>
  </si>
  <si>
    <t>ин.яз.</t>
  </si>
  <si>
    <t>история</t>
  </si>
  <si>
    <t>физ.-ра</t>
  </si>
  <si>
    <t>эконом. теория</t>
  </si>
  <si>
    <t>Селезнев И. К.</t>
  </si>
  <si>
    <t>Прокофьев Л. М.</t>
  </si>
  <si>
    <t>Михайлов И. Р.</t>
  </si>
  <si>
    <t>Власова А. М.</t>
  </si>
  <si>
    <t>Митрофанов Д. А.</t>
  </si>
  <si>
    <t>Кулакова С. А.</t>
  </si>
  <si>
    <t>Киселева С. М.</t>
  </si>
  <si>
    <t>Власова А. Е.</t>
  </si>
  <si>
    <t>Абрамов Е. Д.</t>
  </si>
  <si>
    <t>Шишкина Е. Д.</t>
  </si>
  <si>
    <t>Русский язык</t>
  </si>
  <si>
    <t>Иностранный язык</t>
  </si>
  <si>
    <t>Сумма</t>
  </si>
  <si>
    <t>Зачисление (нет/да)</t>
  </si>
  <si>
    <t>Корчагин А. Д.</t>
  </si>
  <si>
    <t>Лазарев Д. Е.</t>
  </si>
  <si>
    <t>Софронова Е. А.</t>
  </si>
  <si>
    <t>Терентьев А. К.</t>
  </si>
  <si>
    <t>Козлова Д. А.</t>
  </si>
  <si>
    <t>Соколова А. И.</t>
  </si>
  <si>
    <t>Федотов И. Д.</t>
  </si>
  <si>
    <t>Лебедева М. Е.</t>
  </si>
  <si>
    <t>Савин Э. Ф.</t>
  </si>
  <si>
    <t>Маркова А. Ф.</t>
  </si>
  <si>
    <t>ФИО</t>
  </si>
  <si>
    <t>Математика</t>
  </si>
  <si>
    <t>Проходной балл</t>
  </si>
  <si>
    <t>Дата рождения</t>
  </si>
  <si>
    <t>Иванов А.А.</t>
  </si>
  <si>
    <t>Октябрь</t>
  </si>
  <si>
    <t>Фамилия И.О.</t>
  </si>
  <si>
    <t>Заработок (руб.)</t>
  </si>
  <si>
    <t>Месяц</t>
  </si>
  <si>
    <t>Петров Б.Б.</t>
  </si>
  <si>
    <t>Сидоров В.В.</t>
  </si>
  <si>
    <t>Кузнецов Г.Г.</t>
  </si>
  <si>
    <t>Иванов Д.Д.</t>
  </si>
  <si>
    <t>Ноябрь</t>
  </si>
  <si>
    <t>Петров Е.Е.</t>
  </si>
  <si>
    <t>Сидоров Ж.Ж.</t>
  </si>
  <si>
    <t>Кузнецов И.И.</t>
  </si>
  <si>
    <t>Декабрь</t>
  </si>
  <si>
    <t>Иванов К.К.</t>
  </si>
  <si>
    <t>Петров Л.Л.</t>
  </si>
  <si>
    <t>Возраст</t>
  </si>
  <si>
    <t>Сумма пособия</t>
  </si>
  <si>
    <t>Общая cумма пособия:</t>
  </si>
  <si>
    <t>Средний Возраст</t>
  </si>
  <si>
    <t>Количество детей старше 8 лет</t>
  </si>
  <si>
    <t>Фамилия</t>
  </si>
  <si>
    <t>Сумма пособий</t>
  </si>
  <si>
    <t>Иванов</t>
  </si>
  <si>
    <t>Петров</t>
  </si>
  <si>
    <t>Сидоров</t>
  </si>
  <si>
    <t>Кузнецов</t>
  </si>
  <si>
    <t>Сумма выплат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</si>
</sst>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₽&quot;_-;\-* #,##0.00\ &quot;₽&quot;_-;_-* &quot;-&quot;??\ &quot;₽&quot;_-;_-@_-"/>
    <numFmt numFmtId="164" formatCode="[$$-409]#,##0.00"/>
    <numFmt numFmtId="165" formatCode="_-[$$-409]* #,##0.00_ ;_-[$$-409]* \-#,##0.00\ ;_-[$$-409]* &quot;-&quot;??_ ;_-@_ "/>
    <numFmt numFmtId="166" formatCode="[$-419]mmmm;@"/>
    <numFmt numFmtId="167" formatCode="#,##0\ &quot;₽&quot;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22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0"/>
      <color rgb="FF0F1115"/>
      <name val="Consolas"/>
      <family val="3"/>
      <charset val="204"/>
    </font>
    <font>
      <b/>
      <sz val="14"/>
      <color theme="1"/>
      <name val="Times New Roman"/>
      <family val="1"/>
      <charset val="204"/>
    </font>
    <font>
      <sz val="8"/>
      <name val="Calibri"/>
      <family val="2"/>
      <scheme val="minor"/>
    </font>
    <font>
      <sz val="14"/>
      <color rgb="FF0F1115"/>
      <name val="Calibri"/>
      <family val="2"/>
      <charset val="204"/>
      <scheme val="minor"/>
    </font>
    <font>
      <sz val="14"/>
      <color rgb="FF0F1115"/>
      <name val="Calibri"/>
      <family val="2"/>
      <charset val="204"/>
      <scheme val="minor"/>
    </font>
    <font>
      <sz val="15"/>
      <color rgb="FF0F1115"/>
      <name val="Segoe UI"/>
      <family val="2"/>
      <charset val="204"/>
    </font>
    <font>
      <sz val="11"/>
      <color rgb="FF0F1115"/>
      <name val="Consolas"/>
      <family val="3"/>
      <charset val="204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sz val="14"/>
      <color rgb="FF0F1115"/>
      <name val="Consolas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990099"/>
      </left>
      <right style="double">
        <color rgb="FF990099"/>
      </right>
      <top style="double">
        <color rgb="FF990099"/>
      </top>
      <bottom style="double">
        <color rgb="FF99009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rgb="FF990099"/>
      </left>
      <right style="thin">
        <color indexed="64"/>
      </right>
      <top style="double">
        <color rgb="FF990099"/>
      </top>
      <bottom style="double">
        <color rgb="FF990099"/>
      </bottom>
      <diagonal/>
    </border>
    <border>
      <left/>
      <right style="double">
        <color rgb="FF990099"/>
      </right>
      <top style="double">
        <color rgb="FF990099"/>
      </top>
      <bottom style="double">
        <color rgb="FF990099"/>
      </bottom>
      <diagonal/>
    </border>
    <border>
      <left/>
      <right style="thin">
        <color indexed="64"/>
      </right>
      <top style="double">
        <color rgb="FF990099"/>
      </top>
      <bottom style="double">
        <color rgb="FF99009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Dashed">
        <color indexed="64"/>
      </right>
      <top style="medium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 style="medium">
        <color indexed="64"/>
      </top>
      <bottom style="mediumDashed">
        <color indexed="64"/>
      </bottom>
      <diagonal/>
    </border>
    <border>
      <left style="mediumDashed">
        <color indexed="64"/>
      </left>
      <right style="medium">
        <color indexed="64"/>
      </right>
      <top style="medium">
        <color indexed="64"/>
      </top>
      <bottom style="mediumDashed">
        <color indexed="64"/>
      </bottom>
      <diagonal/>
    </border>
    <border>
      <left style="medium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">
        <color indexed="64"/>
      </right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Dashed">
        <color indexed="64"/>
      </right>
      <top style="mediumDashed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">
        <color indexed="64"/>
      </bottom>
      <diagonal/>
    </border>
    <border>
      <left style="mediumDashed">
        <color indexed="64"/>
      </left>
      <right style="medium">
        <color indexed="64"/>
      </right>
      <top style="mediumDash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3" xfId="0" applyBorder="1"/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44" fontId="0" fillId="0" borderId="0" xfId="0" applyNumberFormat="1"/>
    <xf numFmtId="0" fontId="0" fillId="0" borderId="7" xfId="0" applyBorder="1"/>
    <xf numFmtId="164" fontId="0" fillId="0" borderId="7" xfId="0" applyNumberFormat="1" applyBorder="1"/>
    <xf numFmtId="44" fontId="0" fillId="0" borderId="7" xfId="0" applyNumberFormat="1" applyBorder="1"/>
    <xf numFmtId="44" fontId="0" fillId="0" borderId="1" xfId="0" applyNumberFormat="1" applyBorder="1"/>
    <xf numFmtId="0" fontId="0" fillId="0" borderId="8" xfId="0" applyBorder="1"/>
    <xf numFmtId="164" fontId="0" fillId="0" borderId="8" xfId="0" applyNumberFormat="1" applyBorder="1"/>
    <xf numFmtId="44" fontId="0" fillId="0" borderId="8" xfId="0" applyNumberFormat="1" applyBorder="1"/>
    <xf numFmtId="164" fontId="0" fillId="0" borderId="1" xfId="0" applyNumberFormat="1" applyBorder="1"/>
    <xf numFmtId="165" fontId="0" fillId="0" borderId="8" xfId="0" applyNumberFormat="1" applyBorder="1"/>
    <xf numFmtId="165" fontId="4" fillId="0" borderId="0" xfId="0" applyNumberFormat="1" applyFont="1" applyAlignment="1">
      <alignment horizontal="left" vertical="center" indent="2"/>
    </xf>
    <xf numFmtId="165" fontId="4" fillId="0" borderId="1" xfId="0" applyNumberFormat="1" applyFont="1" applyBorder="1" applyAlignment="1">
      <alignment horizontal="left" vertical="center" indent="2"/>
    </xf>
    <xf numFmtId="0" fontId="0" fillId="0" borderId="9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5" fillId="0" borderId="10" xfId="0" applyFont="1" applyBorder="1" applyAlignment="1">
      <alignment horizontal="center" vertical="center" textRotation="90"/>
    </xf>
    <xf numFmtId="0" fontId="5" fillId="0" borderId="11" xfId="0" applyFont="1" applyBorder="1" applyAlignment="1">
      <alignment horizontal="center" vertical="center" textRotation="90"/>
    </xf>
    <xf numFmtId="0" fontId="5" fillId="0" borderId="12" xfId="0" applyFont="1" applyBorder="1" applyAlignment="1">
      <alignment horizontal="center" vertical="center" textRotation="90"/>
    </xf>
    <xf numFmtId="0" fontId="5" fillId="0" borderId="11" xfId="0" applyFont="1" applyBorder="1" applyAlignment="1">
      <alignment horizontal="center" vertical="center"/>
    </xf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Fill="1"/>
    <xf numFmtId="0" fontId="7" fillId="0" borderId="1" xfId="0" applyFont="1" applyFill="1" applyBorder="1" applyAlignment="1">
      <alignment horizontal="left" vertical="center" indent="1"/>
    </xf>
    <xf numFmtId="0" fontId="8" fillId="0" borderId="1" xfId="0" applyFont="1" applyFill="1" applyBorder="1" applyAlignment="1">
      <alignment horizontal="left" vertical="center" indent="1"/>
    </xf>
    <xf numFmtId="14" fontId="8" fillId="0" borderId="1" xfId="0" applyNumberFormat="1" applyFont="1" applyFill="1" applyBorder="1" applyAlignment="1">
      <alignment horizontal="left" vertical="center" indent="1"/>
    </xf>
    <xf numFmtId="167" fontId="8" fillId="0" borderId="1" xfId="0" applyNumberFormat="1" applyFont="1" applyFill="1" applyBorder="1" applyAlignment="1">
      <alignment horizontal="left" vertical="center" indent="1"/>
    </xf>
    <xf numFmtId="166" fontId="8" fillId="0" borderId="1" xfId="0" applyNumberFormat="1" applyFont="1" applyFill="1" applyBorder="1" applyAlignment="1">
      <alignment horizontal="left" vertical="center" indent="1"/>
    </xf>
    <xf numFmtId="0" fontId="0" fillId="0" borderId="0" xfId="0" applyAlignment="1">
      <alignment horizontal="right"/>
    </xf>
    <xf numFmtId="0" fontId="11" fillId="0" borderId="8" xfId="0" applyFont="1" applyBorder="1"/>
    <xf numFmtId="1" fontId="11" fillId="0" borderId="8" xfId="0" applyNumberFormat="1" applyFont="1" applyBorder="1"/>
    <xf numFmtId="0" fontId="7" fillId="0" borderId="1" xfId="0" applyFont="1" applyFill="1" applyBorder="1" applyAlignment="1">
      <alignment horizontal="left" vertical="center" wrapText="1" indent="1"/>
    </xf>
    <xf numFmtId="0" fontId="8" fillId="0" borderId="1" xfId="0" applyFont="1" applyFill="1" applyBorder="1" applyAlignment="1">
      <alignment horizontal="left" vertical="center" wrapText="1" indent="1"/>
    </xf>
    <xf numFmtId="3" fontId="8" fillId="0" borderId="1" xfId="0" applyNumberFormat="1" applyFont="1" applyFill="1" applyBorder="1" applyAlignment="1">
      <alignment horizontal="left" vertical="center" wrapText="1" indent="1"/>
    </xf>
    <xf numFmtId="0" fontId="7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3" fontId="8" fillId="0" borderId="1" xfId="0" applyNumberFormat="1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7" fillId="0" borderId="1" xfId="0" applyFont="1" applyFill="1" applyBorder="1" applyAlignment="1">
      <alignment horizontal="right" vertical="center"/>
    </xf>
    <xf numFmtId="0" fontId="10" fillId="0" borderId="1" xfId="0" applyFont="1" applyBorder="1"/>
    <xf numFmtId="0" fontId="10" fillId="0" borderId="1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NumberFormat="1"/>
  </cellXfs>
  <cellStyles count="1">
    <cellStyle name="Обычный" xfId="0" builtinId="0"/>
  </cellStyles>
  <dxfs count="4"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99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СТОИМОСТЬ</a:t>
            </a:r>
            <a:r>
              <a:rPr lang="ru-RU" baseline="0"/>
              <a:t> ЗАКУПКИ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029139546411188"/>
          <c:y val="0.21830032793989443"/>
          <c:w val="0.79656891185815393"/>
          <c:h val="0.6844040431886302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831C-4E5B-8FC0-33D68C9B7C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831C-4E5B-8FC0-33D68C9B7CE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831C-4E5B-8FC0-33D68C9B7CE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831C-4E5B-8FC0-33D68C9B7CE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831C-4E5B-8FC0-33D68C9B7CE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831C-4E5B-8FC0-33D68C9B7CE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831C-4E5B-8FC0-33D68C9B7CE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831C-4E5B-8FC0-33D68C9B7CE9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831C-4E5B-8FC0-33D68C9B7CE9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831C-4E5B-8FC0-33D68C9B7CE9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831C-4E5B-8FC0-33D68C9B7CE9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831C-4E5B-8FC0-33D68C9B7CE9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831C-4E5B-8FC0-33D68C9B7CE9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831C-4E5B-8FC0-33D68C9B7CE9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Закупки!$B$3:$B$9</c:f>
              <c:strCache>
                <c:ptCount val="7"/>
                <c:pt idx="0">
                  <c:v>МФУ</c:v>
                </c:pt>
                <c:pt idx="1">
                  <c:v>Ноутбук</c:v>
                </c:pt>
                <c:pt idx="2">
                  <c:v>Wi-fi роутер</c:v>
                </c:pt>
                <c:pt idx="3">
                  <c:v>Web-камера</c:v>
                </c:pt>
                <c:pt idx="4">
                  <c:v>Мышь беспроводная</c:v>
                </c:pt>
                <c:pt idx="5">
                  <c:v> Стол компьютерный</c:v>
                </c:pt>
                <c:pt idx="6">
                  <c:v> Стул компьютерный</c:v>
                </c:pt>
              </c:strCache>
            </c:strRef>
          </c:cat>
          <c:val>
            <c:numRef>
              <c:f>Закупки!$G$3:$G$9</c:f>
              <c:numCache>
                <c:formatCode>_("₽"* #,##0.00_);_("₽"* \(#,##0.00\);_("₽"* "-"??_);_(@_)</c:formatCode>
                <c:ptCount val="7"/>
                <c:pt idx="0">
                  <c:v>61332</c:v>
                </c:pt>
                <c:pt idx="1">
                  <c:v>15978.600000000002</c:v>
                </c:pt>
                <c:pt idx="2">
                  <c:v>33087</c:v>
                </c:pt>
                <c:pt idx="3">
                  <c:v>47451.600000000006</c:v>
                </c:pt>
                <c:pt idx="4">
                  <c:v>23080.2</c:v>
                </c:pt>
                <c:pt idx="5">
                  <c:v>24532.799999999999</c:v>
                </c:pt>
                <c:pt idx="6">
                  <c:v>46160.4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1C-4E5B-8FC0-33D68C9B7CE9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Количество,</a:t>
            </a:r>
            <a:r>
              <a:rPr lang="ru-RU" baseline="0"/>
              <a:t> шт.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0"/>
              <c:layout>
                <c:manualLayout>
                  <c:x val="-2.7777777777777779E-3"/>
                  <c:y val="0.1064814814814814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BEA-4F49-B30D-2CB04801DB79}"/>
                </c:ext>
              </c:extLst>
            </c:dLbl>
            <c:dLbl>
              <c:idx val="1"/>
              <c:layout>
                <c:manualLayout>
                  <c:x val="-5.0925337632079971E-17"/>
                  <c:y val="0.1342592592592592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BEA-4F49-B30D-2CB04801DB79}"/>
                </c:ext>
              </c:extLst>
            </c:dLbl>
            <c:dLbl>
              <c:idx val="2"/>
              <c:layout>
                <c:manualLayout>
                  <c:x val="2.7777777777777267E-3"/>
                  <c:y val="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EA-4F49-B30D-2CB04801DB79}"/>
                </c:ext>
              </c:extLst>
            </c:dLbl>
            <c:dLbl>
              <c:idx val="3"/>
              <c:layout>
                <c:manualLayout>
                  <c:x val="0"/>
                  <c:y val="7.40740740740739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BEA-4F49-B30D-2CB04801DB79}"/>
                </c:ext>
              </c:extLst>
            </c:dLbl>
            <c:dLbl>
              <c:idx val="4"/>
              <c:layout>
                <c:manualLayout>
                  <c:x val="0"/>
                  <c:y val="0.101851851851851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EA-4F49-B30D-2CB04801DB79}"/>
                </c:ext>
              </c:extLst>
            </c:dLbl>
            <c:dLbl>
              <c:idx val="5"/>
              <c:layout>
                <c:manualLayout>
                  <c:x val="0"/>
                  <c:y val="0.111111111111111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BEA-4F49-B30D-2CB04801DB79}"/>
                </c:ext>
              </c:extLst>
            </c:dLbl>
            <c:dLbl>
              <c:idx val="6"/>
              <c:layout>
                <c:manualLayout>
                  <c:x val="0"/>
                  <c:y val="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EA-4F49-B30D-2CB04801DB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Закупки!$B$3:$B$9</c:f>
              <c:strCache>
                <c:ptCount val="7"/>
                <c:pt idx="0">
                  <c:v>МФУ</c:v>
                </c:pt>
                <c:pt idx="1">
                  <c:v>Ноутбук</c:v>
                </c:pt>
                <c:pt idx="2">
                  <c:v>Wi-fi роутер</c:v>
                </c:pt>
                <c:pt idx="3">
                  <c:v>Web-камера</c:v>
                </c:pt>
                <c:pt idx="4">
                  <c:v>Мышь беспроводная</c:v>
                </c:pt>
                <c:pt idx="5">
                  <c:v> Стол компьютерный</c:v>
                </c:pt>
                <c:pt idx="6">
                  <c:v> Стул компьютерный</c:v>
                </c:pt>
              </c:strCache>
            </c:strRef>
          </c:cat>
          <c:val>
            <c:numRef>
              <c:f>Закупки!$C$3:$C$9</c:f>
              <c:numCache>
                <c:formatCode>General</c:formatCode>
                <c:ptCount val="7"/>
                <c:pt idx="0">
                  <c:v>10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13</c:v>
                </c:pt>
                <c:pt idx="5">
                  <c:v>8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EA-4F49-B30D-2CB04801D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50638800"/>
        <c:axId val="450639128"/>
        <c:axId val="533673176"/>
      </c:bar3DChart>
      <c:catAx>
        <c:axId val="45063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0639128"/>
        <c:crosses val="autoZero"/>
        <c:auto val="1"/>
        <c:lblAlgn val="ctr"/>
        <c:lblOffset val="100"/>
        <c:noMultiLvlLbl val="0"/>
      </c:catAx>
      <c:valAx>
        <c:axId val="450639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0638800"/>
        <c:crosses val="autoZero"/>
        <c:crossBetween val="between"/>
      </c:valAx>
      <c:serAx>
        <c:axId val="533673176"/>
        <c:scaling>
          <c:orientation val="minMax"/>
        </c:scaling>
        <c:delete val="1"/>
        <c:axPos val="b"/>
        <c:majorTickMark val="none"/>
        <c:minorTickMark val="none"/>
        <c:tickLblPos val="nextTo"/>
        <c:crossAx val="450639128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График!$B$2:$AU$2</c:f>
              <c:numCache>
                <c:formatCode>General</c:formatCode>
                <c:ptCount val="4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0.79999999999999993</c:v>
                </c:pt>
                <c:pt idx="4">
                  <c:v>0.89999999999999991</c:v>
                </c:pt>
                <c:pt idx="5">
                  <c:v>0.99999999999999989</c:v>
                </c:pt>
                <c:pt idx="6">
                  <c:v>1.0999999999999999</c:v>
                </c:pt>
                <c:pt idx="7">
                  <c:v>1.2</c:v>
                </c:pt>
                <c:pt idx="8">
                  <c:v>1.3</c:v>
                </c:pt>
                <c:pt idx="9">
                  <c:v>1.4000000000000001</c:v>
                </c:pt>
                <c:pt idx="10">
                  <c:v>1.5000000000000002</c:v>
                </c:pt>
                <c:pt idx="11">
                  <c:v>1.6000000000000003</c:v>
                </c:pt>
                <c:pt idx="12">
                  <c:v>1.7000000000000004</c:v>
                </c:pt>
                <c:pt idx="13">
                  <c:v>1.8000000000000005</c:v>
                </c:pt>
                <c:pt idx="14">
                  <c:v>1.9000000000000006</c:v>
                </c:pt>
                <c:pt idx="15">
                  <c:v>2.0000000000000004</c:v>
                </c:pt>
                <c:pt idx="16">
                  <c:v>2.1000000000000005</c:v>
                </c:pt>
                <c:pt idx="17">
                  <c:v>2.2000000000000006</c:v>
                </c:pt>
                <c:pt idx="18">
                  <c:v>2.3000000000000007</c:v>
                </c:pt>
                <c:pt idx="19">
                  <c:v>2.4000000000000008</c:v>
                </c:pt>
                <c:pt idx="20">
                  <c:v>2.5000000000000009</c:v>
                </c:pt>
                <c:pt idx="21">
                  <c:v>2.600000000000001</c:v>
                </c:pt>
                <c:pt idx="22">
                  <c:v>2.7000000000000011</c:v>
                </c:pt>
                <c:pt idx="23">
                  <c:v>2.8000000000000012</c:v>
                </c:pt>
                <c:pt idx="24">
                  <c:v>2.9000000000000012</c:v>
                </c:pt>
                <c:pt idx="25">
                  <c:v>3.0000000000000013</c:v>
                </c:pt>
                <c:pt idx="26">
                  <c:v>3.1000000000000014</c:v>
                </c:pt>
                <c:pt idx="27">
                  <c:v>3.2000000000000015</c:v>
                </c:pt>
                <c:pt idx="28">
                  <c:v>3.3000000000000016</c:v>
                </c:pt>
                <c:pt idx="29">
                  <c:v>3.4000000000000017</c:v>
                </c:pt>
                <c:pt idx="30">
                  <c:v>3.5000000000000018</c:v>
                </c:pt>
                <c:pt idx="31">
                  <c:v>3.6000000000000019</c:v>
                </c:pt>
                <c:pt idx="32">
                  <c:v>3.700000000000002</c:v>
                </c:pt>
                <c:pt idx="33">
                  <c:v>3.800000000000002</c:v>
                </c:pt>
                <c:pt idx="34">
                  <c:v>3.9000000000000021</c:v>
                </c:pt>
                <c:pt idx="35">
                  <c:v>4.0000000000000018</c:v>
                </c:pt>
                <c:pt idx="36">
                  <c:v>4.1000000000000014</c:v>
                </c:pt>
                <c:pt idx="37">
                  <c:v>4.2000000000000011</c:v>
                </c:pt>
                <c:pt idx="38">
                  <c:v>4.3000000000000007</c:v>
                </c:pt>
                <c:pt idx="39">
                  <c:v>4.4000000000000004</c:v>
                </c:pt>
                <c:pt idx="40">
                  <c:v>4.5</c:v>
                </c:pt>
                <c:pt idx="41">
                  <c:v>4.5999999999999996</c:v>
                </c:pt>
                <c:pt idx="42">
                  <c:v>4.6999999999999993</c:v>
                </c:pt>
                <c:pt idx="43">
                  <c:v>4.7999999999999989</c:v>
                </c:pt>
                <c:pt idx="44">
                  <c:v>4.8999999999999986</c:v>
                </c:pt>
                <c:pt idx="45">
                  <c:v>4.9999999999999982</c:v>
                </c:pt>
              </c:numCache>
            </c:numRef>
          </c:xVal>
          <c:yVal>
            <c:numRef>
              <c:f>График!$B$3:$AU$3</c:f>
              <c:numCache>
                <c:formatCode>General</c:formatCode>
                <c:ptCount val="46"/>
                <c:pt idx="0">
                  <c:v>1.479425538604203</c:v>
                </c:pt>
                <c:pt idx="1">
                  <c:v>1.5646424733950353</c:v>
                </c:pt>
                <c:pt idx="2">
                  <c:v>1.644217687237691</c:v>
                </c:pt>
                <c:pt idx="3">
                  <c:v>1.7173560908995227</c:v>
                </c:pt>
                <c:pt idx="4">
                  <c:v>1.7833269096274833</c:v>
                </c:pt>
                <c:pt idx="5">
                  <c:v>1.8414709848078963</c:v>
                </c:pt>
                <c:pt idx="6">
                  <c:v>1.8912073600614354</c:v>
                </c:pt>
                <c:pt idx="7">
                  <c:v>1.9320390859672263</c:v>
                </c:pt>
                <c:pt idx="8">
                  <c:v>1.9635581854171931</c:v>
                </c:pt>
                <c:pt idx="9">
                  <c:v>1.9854497299884604</c:v>
                </c:pt>
                <c:pt idx="10">
                  <c:v>1.9974949866040546</c:v>
                </c:pt>
                <c:pt idx="11">
                  <c:v>1.999573603041505</c:v>
                </c:pt>
                <c:pt idx="12">
                  <c:v>1.9916648104524686</c:v>
                </c:pt>
                <c:pt idx="13">
                  <c:v>1.9738476308781951</c:v>
                </c:pt>
                <c:pt idx="14">
                  <c:v>1.9463000876874141</c:v>
                </c:pt>
                <c:pt idx="15">
                  <c:v>1.9092974268256815</c:v>
                </c:pt>
                <c:pt idx="16">
                  <c:v>1.8632093666488734</c:v>
                </c:pt>
                <c:pt idx="17">
                  <c:v>1.8084964038195899</c:v>
                </c:pt>
                <c:pt idx="18">
                  <c:v>1.7457052121767198</c:v>
                </c:pt>
                <c:pt idx="19">
                  <c:v>1.6754631805511502</c:v>
                </c:pt>
                <c:pt idx="20">
                  <c:v>1.5984721441039558</c:v>
                </c:pt>
                <c:pt idx="21">
                  <c:v>1.5155013718214634</c:v>
                </c:pt>
                <c:pt idx="22">
                  <c:v>1.4273798802338289</c:v>
                </c:pt>
                <c:pt idx="23">
                  <c:v>1.3349881501559038</c:v>
                </c:pt>
                <c:pt idx="24">
                  <c:v>1.239249329213981</c:v>
                </c:pt>
                <c:pt idx="25">
                  <c:v>1.141120008059866</c:v>
                </c:pt>
                <c:pt idx="26">
                  <c:v>1.0415806624332891</c:v>
                </c:pt>
                <c:pt idx="27">
                  <c:v>0.9416258565724186</c:v>
                </c:pt>
                <c:pt idx="28">
                  <c:v>0.84225430585674999</c:v>
                </c:pt>
                <c:pt idx="29">
                  <c:v>0.744458897973167</c:v>
                </c:pt>
                <c:pt idx="30">
                  <c:v>0.64921677231037855</c:v>
                </c:pt>
                <c:pt idx="31">
                  <c:v>0.55747955670514593</c:v>
                </c:pt>
                <c:pt idx="32">
                  <c:v>0.47016385909150515</c:v>
                </c:pt>
                <c:pt idx="33">
                  <c:v>0.38814210905727931</c:v>
                </c:pt>
                <c:pt idx="34">
                  <c:v>0.31223384081602468</c:v>
                </c:pt>
                <c:pt idx="35">
                  <c:v>0.24319750469207058</c:v>
                </c:pt>
                <c:pt idx="36">
                  <c:v>0.18172288893558863</c:v>
                </c:pt>
                <c:pt idx="37">
                  <c:v>0.12842422758641137</c:v>
                </c:pt>
                <c:pt idx="38">
                  <c:v>8.3834063250544766E-2</c:v>
                </c:pt>
                <c:pt idx="39">
                  <c:v>4.8397926110483991E-2</c:v>
                </c:pt>
                <c:pt idx="40">
                  <c:v>2.2469882334902991E-2</c:v>
                </c:pt>
                <c:pt idx="41">
                  <c:v>6.3089963665355908E-3</c:v>
                </c:pt>
                <c:pt idx="42">
                  <c:v>7.6742435899168626E-5</c:v>
                </c:pt>
                <c:pt idx="43">
                  <c:v>3.8353911641592076E-3</c:v>
                </c:pt>
                <c:pt idx="44">
                  <c:v>1.7547387375667189E-2</c:v>
                </c:pt>
                <c:pt idx="45">
                  <c:v>4.1075725336860991E-2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0F7-41E2-8932-302D693D7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632800"/>
        <c:axId val="438631160"/>
      </c:scatterChart>
      <c:valAx>
        <c:axId val="43863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8631160"/>
        <c:crosses val="autoZero"/>
        <c:crossBetween val="midCat"/>
      </c:valAx>
      <c:valAx>
        <c:axId val="43863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8632800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Диаграмма выплат по месяцам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Лист2!$B$28:$B$30</c:f>
              <c:strCache>
                <c:ptCount val="3"/>
                <c:pt idx="0">
                  <c:v>Октябрь</c:v>
                </c:pt>
                <c:pt idx="1">
                  <c:v>Ноябрь</c:v>
                </c:pt>
                <c:pt idx="2">
                  <c:v>Декабрь</c:v>
                </c:pt>
              </c:strCache>
            </c:strRef>
          </c:cat>
          <c:val>
            <c:numRef>
              <c:f>Лист2!$C$28:$C$30</c:f>
              <c:numCache>
                <c:formatCode>#,##0</c:formatCode>
                <c:ptCount val="3"/>
                <c:pt idx="0">
                  <c:v>91200</c:v>
                </c:pt>
                <c:pt idx="1">
                  <c:v>53200</c:v>
                </c:pt>
                <c:pt idx="2">
                  <c:v>76000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B-4F40-AFEB-383B9EAC4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03168271"/>
        <c:axId val="1803168751"/>
        <c:axId val="1744401407"/>
      </c:bar3DChart>
      <c:catAx>
        <c:axId val="1803168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3168751"/>
        <c:crosses val="autoZero"/>
        <c:auto val="1"/>
        <c:lblAlgn val="ctr"/>
        <c:lblOffset val="100"/>
        <c:noMultiLvlLbl val="0"/>
      </c:catAx>
      <c:valAx>
        <c:axId val="180316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3168271"/>
        <c:crosses val="autoZero"/>
        <c:crossBetween val="between"/>
      </c:valAx>
      <c:serAx>
        <c:axId val="1744401407"/>
        <c:scaling>
          <c:orientation val="minMax"/>
        </c:scaling>
        <c:delete val="1"/>
        <c:axPos val="b"/>
        <c:majorTickMark val="out"/>
        <c:minorTickMark val="none"/>
        <c:tickLblPos val="nextTo"/>
        <c:crossAx val="1803168751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542925</xdr:colOff>
      <xdr:row>2</xdr:row>
      <xdr:rowOff>0</xdr:rowOff>
    </xdr:from>
    <xdr:to>
      <xdr:col>18</xdr:col>
      <xdr:colOff>600075</xdr:colOff>
      <xdr:row>20</xdr:row>
      <xdr:rowOff>185737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8B02643-6F05-46E9-A43B-FB03F90A95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609599</xdr:colOff>
      <xdr:row>22</xdr:row>
      <xdr:rowOff>14286</xdr:rowOff>
    </xdr:from>
    <xdr:to>
      <xdr:col>17</xdr:col>
      <xdr:colOff>9524</xdr:colOff>
      <xdr:row>36</xdr:row>
      <xdr:rowOff>190499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5039FAB-99C7-44B3-81FB-01C8E5032F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</xdr:row>
      <xdr:rowOff>185737</xdr:rowOff>
    </xdr:from>
    <xdr:to>
      <xdr:col>8</xdr:col>
      <xdr:colOff>323850</xdr:colOff>
      <xdr:row>18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BDF9093-FE19-40B1-B311-48A37DAA46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13</xdr:row>
      <xdr:rowOff>14287</xdr:rowOff>
    </xdr:from>
    <xdr:to>
      <xdr:col>9</xdr:col>
      <xdr:colOff>495300</xdr:colOff>
      <xdr:row>25</xdr:row>
      <xdr:rowOff>42862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374FF37-6A3D-917A-EDDD-4BA06D61A3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zoomScaleNormal="100" workbookViewId="0">
      <selection activeCell="F3" sqref="F3"/>
    </sheetView>
  </sheetViews>
  <sheetFormatPr defaultRowHeight="15" x14ac:dyDescent="0.25"/>
  <cols>
    <col min="1" max="1" width="3.140625" bestFit="1" customWidth="1"/>
    <col min="2" max="2" width="20.5703125" bestFit="1" customWidth="1"/>
    <col min="3" max="3" width="12.140625" bestFit="1" customWidth="1"/>
    <col min="4" max="4" width="11.7109375" customWidth="1"/>
    <col min="5" max="5" width="10.5703125" customWidth="1"/>
    <col min="6" max="6" width="12.5703125" customWidth="1"/>
    <col min="7" max="7" width="14.5703125" bestFit="1" customWidth="1"/>
  </cols>
  <sheetData>
    <row r="1" spans="1:9" ht="29.25" thickBot="1" x14ac:dyDescent="0.5">
      <c r="A1" s="58" t="s">
        <v>14</v>
      </c>
      <c r="B1" s="59"/>
      <c r="C1" s="59"/>
      <c r="D1" s="59"/>
      <c r="E1" s="59"/>
      <c r="F1" s="59"/>
      <c r="G1" s="59"/>
      <c r="H1" s="1"/>
      <c r="I1" s="1"/>
    </row>
    <row r="2" spans="1:9" ht="72.75" thickTop="1" thickBot="1" x14ac:dyDescent="0.3">
      <c r="A2" s="4" t="s">
        <v>0</v>
      </c>
      <c r="B2" s="6" t="s">
        <v>1</v>
      </c>
      <c r="C2" s="7" t="s">
        <v>2</v>
      </c>
      <c r="D2" s="7" t="s">
        <v>3</v>
      </c>
      <c r="E2" s="7" t="s">
        <v>4</v>
      </c>
      <c r="F2" s="7" t="s">
        <v>6</v>
      </c>
      <c r="G2" s="5" t="s">
        <v>5</v>
      </c>
    </row>
    <row r="3" spans="1:9" ht="15.75" thickTop="1" x14ac:dyDescent="0.25">
      <c r="A3" s="3">
        <v>1</v>
      </c>
      <c r="B3" s="11" t="s">
        <v>7</v>
      </c>
      <c r="C3" s="11">
        <f ca="1">RANDBETWEEN(4,17)</f>
        <v>10</v>
      </c>
      <c r="D3" s="20">
        <f ca="1">RANDBETWEEN(10,100)</f>
        <v>76</v>
      </c>
      <c r="E3" s="12">
        <f ca="1">D3*C3</f>
        <v>760</v>
      </c>
      <c r="F3" s="13">
        <f ca="1">D3*$G21</f>
        <v>6133.2</v>
      </c>
      <c r="G3" s="13">
        <f ca="1">F3*C3</f>
        <v>61332</v>
      </c>
      <c r="H3" s="9"/>
      <c r="I3" s="10"/>
    </row>
    <row r="4" spans="1:9" x14ac:dyDescent="0.25">
      <c r="A4" s="2">
        <v>2</v>
      </c>
      <c r="B4" s="2" t="s">
        <v>8</v>
      </c>
      <c r="C4" s="2">
        <f t="shared" ref="C4:C9" ca="1" si="0">RANDBETWEEN(4,17)</f>
        <v>11</v>
      </c>
      <c r="D4" s="21">
        <f t="shared" ref="D4:D9" ca="1" si="1">RANDBETWEEN(10,100)</f>
        <v>18</v>
      </c>
      <c r="E4" s="18">
        <f t="shared" ref="E4:E9" ca="1" si="2">D4*C4</f>
        <v>198</v>
      </c>
      <c r="F4" s="14">
        <f t="shared" ref="F4:F9" ca="1" si="3">D4*$G$21</f>
        <v>1452.6000000000001</v>
      </c>
      <c r="G4" s="14">
        <f t="shared" ref="G4:G9" ca="1" si="4">F4*C4</f>
        <v>15978.600000000002</v>
      </c>
      <c r="I4" s="8"/>
    </row>
    <row r="5" spans="1:9" x14ac:dyDescent="0.25">
      <c r="A5" s="2">
        <v>3</v>
      </c>
      <c r="B5" s="2" t="s">
        <v>9</v>
      </c>
      <c r="C5" s="2">
        <f t="shared" ca="1" si="0"/>
        <v>10</v>
      </c>
      <c r="D5" s="21">
        <f t="shared" ca="1" si="1"/>
        <v>41</v>
      </c>
      <c r="E5" s="18">
        <f t="shared" ca="1" si="2"/>
        <v>410</v>
      </c>
      <c r="F5" s="14">
        <f t="shared" ca="1" si="3"/>
        <v>3308.7000000000003</v>
      </c>
      <c r="G5" s="14">
        <f t="shared" ca="1" si="4"/>
        <v>33087</v>
      </c>
      <c r="I5" s="8"/>
    </row>
    <row r="6" spans="1:9" x14ac:dyDescent="0.25">
      <c r="A6" s="2">
        <v>4</v>
      </c>
      <c r="B6" s="2" t="s">
        <v>10</v>
      </c>
      <c r="C6" s="2">
        <f t="shared" ca="1" si="0"/>
        <v>12</v>
      </c>
      <c r="D6" s="21">
        <f t="shared" ca="1" si="1"/>
        <v>49</v>
      </c>
      <c r="E6" s="18">
        <f t="shared" ca="1" si="2"/>
        <v>588</v>
      </c>
      <c r="F6" s="14">
        <f t="shared" ca="1" si="3"/>
        <v>3954.3</v>
      </c>
      <c r="G6" s="14">
        <f t="shared" ca="1" si="4"/>
        <v>47451.600000000006</v>
      </c>
      <c r="I6" s="8"/>
    </row>
    <row r="7" spans="1:9" x14ac:dyDescent="0.25">
      <c r="A7" s="2">
        <v>5</v>
      </c>
      <c r="B7" s="2" t="s">
        <v>11</v>
      </c>
      <c r="C7" s="2">
        <f t="shared" ca="1" si="0"/>
        <v>13</v>
      </c>
      <c r="D7" s="21">
        <f t="shared" ca="1" si="1"/>
        <v>22</v>
      </c>
      <c r="E7" s="18">
        <f t="shared" ca="1" si="2"/>
        <v>286</v>
      </c>
      <c r="F7" s="14">
        <f t="shared" ca="1" si="3"/>
        <v>1775.4</v>
      </c>
      <c r="G7" s="14">
        <f t="shared" ca="1" si="4"/>
        <v>23080.2</v>
      </c>
      <c r="I7" s="8"/>
    </row>
    <row r="8" spans="1:9" x14ac:dyDescent="0.25">
      <c r="A8" s="2">
        <v>6</v>
      </c>
      <c r="B8" s="2" t="s">
        <v>12</v>
      </c>
      <c r="C8" s="2">
        <f t="shared" ca="1" si="0"/>
        <v>8</v>
      </c>
      <c r="D8" s="21">
        <f t="shared" ca="1" si="1"/>
        <v>38</v>
      </c>
      <c r="E8" s="18">
        <f t="shared" ca="1" si="2"/>
        <v>304</v>
      </c>
      <c r="F8" s="14">
        <f t="shared" ca="1" si="3"/>
        <v>3066.6</v>
      </c>
      <c r="G8" s="14">
        <f t="shared" ca="1" si="4"/>
        <v>24532.799999999999</v>
      </c>
      <c r="I8" s="8"/>
    </row>
    <row r="9" spans="1:9" x14ac:dyDescent="0.25">
      <c r="A9" s="2">
        <v>7</v>
      </c>
      <c r="B9" s="2" t="s">
        <v>13</v>
      </c>
      <c r="C9" s="2">
        <f t="shared" ca="1" si="0"/>
        <v>13</v>
      </c>
      <c r="D9" s="21">
        <f t="shared" ca="1" si="1"/>
        <v>44</v>
      </c>
      <c r="E9" s="18">
        <f t="shared" ca="1" si="2"/>
        <v>572</v>
      </c>
      <c r="F9" s="14">
        <f t="shared" ca="1" si="3"/>
        <v>3550.8</v>
      </c>
      <c r="G9" s="14">
        <f t="shared" ca="1" si="4"/>
        <v>46160.4</v>
      </c>
      <c r="I9" s="8"/>
    </row>
    <row r="10" spans="1:9" ht="15.75" thickBot="1" x14ac:dyDescent="0.3"/>
    <row r="11" spans="1:9" ht="15.75" thickBot="1" x14ac:dyDescent="0.3">
      <c r="A11" s="57" t="s">
        <v>15</v>
      </c>
      <c r="B11" s="57"/>
      <c r="C11" s="57"/>
      <c r="D11" s="57"/>
      <c r="E11" s="57"/>
      <c r="G11" s="16">
        <f ca="1">SUM(E3:E9)</f>
        <v>3118</v>
      </c>
    </row>
    <row r="12" spans="1:9" ht="15.75" thickBot="1" x14ac:dyDescent="0.3"/>
    <row r="13" spans="1:9" ht="15.75" thickBot="1" x14ac:dyDescent="0.3">
      <c r="A13" s="57" t="s">
        <v>16</v>
      </c>
      <c r="B13" s="57"/>
      <c r="C13" s="57"/>
      <c r="D13" s="57"/>
      <c r="E13" s="57"/>
      <c r="G13" s="17">
        <f ca="1">SUM(G3:G9)</f>
        <v>251622.6</v>
      </c>
    </row>
    <row r="14" spans="1:9" ht="15.75" thickBot="1" x14ac:dyDescent="0.3"/>
    <row r="15" spans="1:9" ht="15.75" thickBot="1" x14ac:dyDescent="0.3">
      <c r="A15" s="57" t="s">
        <v>17</v>
      </c>
      <c r="B15" s="57"/>
      <c r="C15" s="57"/>
      <c r="D15" s="57"/>
      <c r="E15" s="57"/>
      <c r="G15" s="17">
        <f ca="1">AVERAGE(F3:F9,D3:D9)</f>
        <v>1680.6857142857141</v>
      </c>
    </row>
    <row r="16" spans="1:9" ht="15.75" thickBot="1" x14ac:dyDescent="0.3"/>
    <row r="17" spans="1:7" ht="15.75" thickBot="1" x14ac:dyDescent="0.3">
      <c r="A17" s="57" t="s">
        <v>18</v>
      </c>
      <c r="B17" s="57"/>
      <c r="C17" s="57"/>
      <c r="D17" s="57"/>
      <c r="E17" s="57"/>
      <c r="G17" s="17">
        <f ca="1">MIN(G3:G9)</f>
        <v>15978.600000000002</v>
      </c>
    </row>
    <row r="18" spans="1:7" ht="15.75" thickBot="1" x14ac:dyDescent="0.3"/>
    <row r="19" spans="1:7" ht="15.75" thickBot="1" x14ac:dyDescent="0.3">
      <c r="A19" s="57" t="s">
        <v>19</v>
      </c>
      <c r="B19" s="57"/>
      <c r="C19" s="57"/>
      <c r="D19" s="57"/>
      <c r="E19" s="57"/>
      <c r="G19" s="19">
        <f ca="1">MIN(D3:D9)</f>
        <v>18</v>
      </c>
    </row>
    <row r="20" spans="1:7" ht="15.75" thickBot="1" x14ac:dyDescent="0.3"/>
    <row r="21" spans="1:7" ht="15.75" thickBot="1" x14ac:dyDescent="0.3">
      <c r="A21" s="57" t="s">
        <v>20</v>
      </c>
      <c r="B21" s="57"/>
      <c r="C21" s="57"/>
      <c r="D21" s="57"/>
      <c r="E21" s="57"/>
      <c r="G21" s="15">
        <v>80.7</v>
      </c>
    </row>
  </sheetData>
  <mergeCells count="7">
    <mergeCell ref="A13:E13"/>
    <mergeCell ref="A15:E15"/>
    <mergeCell ref="A17:E17"/>
    <mergeCell ref="A1:G1"/>
    <mergeCell ref="A21:E21"/>
    <mergeCell ref="A19:E19"/>
    <mergeCell ref="A11:E1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5142E-0491-47B0-969A-A69946725A76}">
  <dimension ref="A1:AU3"/>
  <sheetViews>
    <sheetView workbookViewId="0">
      <selection activeCell="H24" sqref="G24:H35"/>
    </sheetView>
  </sheetViews>
  <sheetFormatPr defaultRowHeight="15" x14ac:dyDescent="0.25"/>
  <sheetData>
    <row r="1" spans="1:47" x14ac:dyDescent="0.25">
      <c r="A1" t="s">
        <v>21</v>
      </c>
      <c r="B1">
        <v>0.1</v>
      </c>
      <c r="D1" t="s">
        <v>24</v>
      </c>
      <c r="E1">
        <v>0.5</v>
      </c>
    </row>
    <row r="2" spans="1:47" x14ac:dyDescent="0.25">
      <c r="A2" t="s">
        <v>22</v>
      </c>
      <c r="B2">
        <f>E1</f>
        <v>0.5</v>
      </c>
      <c r="C2">
        <f>B2+$B$1</f>
        <v>0.6</v>
      </c>
      <c r="D2">
        <f t="shared" ref="D2:AU2" si="0">C2+$B$1</f>
        <v>0.7</v>
      </c>
      <c r="E2">
        <f t="shared" si="0"/>
        <v>0.79999999999999993</v>
      </c>
      <c r="F2">
        <f t="shared" si="0"/>
        <v>0.89999999999999991</v>
      </c>
      <c r="G2">
        <f t="shared" si="0"/>
        <v>0.99999999999999989</v>
      </c>
      <c r="H2">
        <f t="shared" si="0"/>
        <v>1.0999999999999999</v>
      </c>
      <c r="I2">
        <f t="shared" si="0"/>
        <v>1.2</v>
      </c>
      <c r="J2">
        <f t="shared" si="0"/>
        <v>1.3</v>
      </c>
      <c r="K2">
        <f t="shared" si="0"/>
        <v>1.4000000000000001</v>
      </c>
      <c r="L2">
        <f t="shared" si="0"/>
        <v>1.5000000000000002</v>
      </c>
      <c r="M2">
        <f t="shared" si="0"/>
        <v>1.6000000000000003</v>
      </c>
      <c r="N2">
        <f t="shared" si="0"/>
        <v>1.7000000000000004</v>
      </c>
      <c r="O2">
        <f t="shared" si="0"/>
        <v>1.8000000000000005</v>
      </c>
      <c r="P2">
        <f t="shared" si="0"/>
        <v>1.9000000000000006</v>
      </c>
      <c r="Q2">
        <f t="shared" si="0"/>
        <v>2.0000000000000004</v>
      </c>
      <c r="R2">
        <f t="shared" si="0"/>
        <v>2.1000000000000005</v>
      </c>
      <c r="S2">
        <f t="shared" si="0"/>
        <v>2.2000000000000006</v>
      </c>
      <c r="T2">
        <f t="shared" si="0"/>
        <v>2.3000000000000007</v>
      </c>
      <c r="U2">
        <f t="shared" si="0"/>
        <v>2.4000000000000008</v>
      </c>
      <c r="V2">
        <f t="shared" si="0"/>
        <v>2.5000000000000009</v>
      </c>
      <c r="W2">
        <f t="shared" si="0"/>
        <v>2.600000000000001</v>
      </c>
      <c r="X2">
        <f t="shared" si="0"/>
        <v>2.7000000000000011</v>
      </c>
      <c r="Y2">
        <f t="shared" si="0"/>
        <v>2.8000000000000012</v>
      </c>
      <c r="Z2">
        <f t="shared" si="0"/>
        <v>2.9000000000000012</v>
      </c>
      <c r="AA2">
        <f t="shared" si="0"/>
        <v>3.0000000000000013</v>
      </c>
      <c r="AB2">
        <f t="shared" si="0"/>
        <v>3.1000000000000014</v>
      </c>
      <c r="AC2">
        <f t="shared" si="0"/>
        <v>3.2000000000000015</v>
      </c>
      <c r="AD2">
        <f t="shared" si="0"/>
        <v>3.3000000000000016</v>
      </c>
      <c r="AE2">
        <f t="shared" si="0"/>
        <v>3.4000000000000017</v>
      </c>
      <c r="AF2">
        <f t="shared" si="0"/>
        <v>3.5000000000000018</v>
      </c>
      <c r="AG2">
        <f t="shared" si="0"/>
        <v>3.6000000000000019</v>
      </c>
      <c r="AH2">
        <f t="shared" si="0"/>
        <v>3.700000000000002</v>
      </c>
      <c r="AI2">
        <f t="shared" si="0"/>
        <v>3.800000000000002</v>
      </c>
      <c r="AJ2">
        <f t="shared" si="0"/>
        <v>3.9000000000000021</v>
      </c>
      <c r="AK2">
        <f>AJ2+$B$1</f>
        <v>4.0000000000000018</v>
      </c>
      <c r="AL2">
        <f t="shared" si="0"/>
        <v>4.1000000000000014</v>
      </c>
      <c r="AM2">
        <f t="shared" si="0"/>
        <v>4.2000000000000011</v>
      </c>
      <c r="AN2">
        <f t="shared" si="0"/>
        <v>4.3000000000000007</v>
      </c>
      <c r="AO2">
        <f t="shared" si="0"/>
        <v>4.4000000000000004</v>
      </c>
      <c r="AP2">
        <f t="shared" si="0"/>
        <v>4.5</v>
      </c>
      <c r="AQ2">
        <f t="shared" si="0"/>
        <v>4.5999999999999996</v>
      </c>
      <c r="AR2">
        <f t="shared" si="0"/>
        <v>4.6999999999999993</v>
      </c>
      <c r="AS2">
        <f t="shared" si="0"/>
        <v>4.7999999999999989</v>
      </c>
      <c r="AT2">
        <f t="shared" si="0"/>
        <v>4.8999999999999986</v>
      </c>
      <c r="AU2">
        <f t="shared" si="0"/>
        <v>4.9999999999999982</v>
      </c>
    </row>
    <row r="3" spans="1:47" x14ac:dyDescent="0.25">
      <c r="A3" t="s">
        <v>23</v>
      </c>
      <c r="B3">
        <f>SIN(B2)+1</f>
        <v>1.479425538604203</v>
      </c>
      <c r="C3">
        <f t="shared" ref="C3:AU3" si="1">SIN(C2)+1</f>
        <v>1.5646424733950353</v>
      </c>
      <c r="D3">
        <f t="shared" si="1"/>
        <v>1.644217687237691</v>
      </c>
      <c r="E3">
        <f t="shared" si="1"/>
        <v>1.7173560908995227</v>
      </c>
      <c r="F3">
        <f t="shared" si="1"/>
        <v>1.7833269096274833</v>
      </c>
      <c r="G3">
        <f t="shared" si="1"/>
        <v>1.8414709848078963</v>
      </c>
      <c r="H3">
        <f t="shared" si="1"/>
        <v>1.8912073600614354</v>
      </c>
      <c r="I3">
        <f t="shared" si="1"/>
        <v>1.9320390859672263</v>
      </c>
      <c r="J3">
        <f t="shared" si="1"/>
        <v>1.9635581854171931</v>
      </c>
      <c r="K3">
        <f t="shared" si="1"/>
        <v>1.9854497299884604</v>
      </c>
      <c r="L3">
        <f t="shared" si="1"/>
        <v>1.9974949866040546</v>
      </c>
      <c r="M3">
        <f t="shared" si="1"/>
        <v>1.999573603041505</v>
      </c>
      <c r="N3">
        <f t="shared" si="1"/>
        <v>1.9916648104524686</v>
      </c>
      <c r="O3">
        <f t="shared" si="1"/>
        <v>1.9738476308781951</v>
      </c>
      <c r="P3">
        <f t="shared" si="1"/>
        <v>1.9463000876874141</v>
      </c>
      <c r="Q3">
        <f t="shared" si="1"/>
        <v>1.9092974268256815</v>
      </c>
      <c r="R3">
        <f t="shared" si="1"/>
        <v>1.8632093666488734</v>
      </c>
      <c r="S3">
        <f t="shared" si="1"/>
        <v>1.8084964038195899</v>
      </c>
      <c r="T3">
        <f t="shared" si="1"/>
        <v>1.7457052121767198</v>
      </c>
      <c r="U3">
        <f t="shared" si="1"/>
        <v>1.6754631805511502</v>
      </c>
      <c r="V3">
        <f t="shared" si="1"/>
        <v>1.5984721441039558</v>
      </c>
      <c r="W3">
        <f t="shared" si="1"/>
        <v>1.5155013718214634</v>
      </c>
      <c r="X3">
        <f t="shared" si="1"/>
        <v>1.4273798802338289</v>
      </c>
      <c r="Y3">
        <f t="shared" si="1"/>
        <v>1.3349881501559038</v>
      </c>
      <c r="Z3">
        <f t="shared" si="1"/>
        <v>1.239249329213981</v>
      </c>
      <c r="AA3">
        <f t="shared" si="1"/>
        <v>1.141120008059866</v>
      </c>
      <c r="AB3">
        <f t="shared" si="1"/>
        <v>1.0415806624332891</v>
      </c>
      <c r="AC3">
        <f t="shared" si="1"/>
        <v>0.9416258565724186</v>
      </c>
      <c r="AD3">
        <f t="shared" si="1"/>
        <v>0.84225430585674999</v>
      </c>
      <c r="AE3">
        <f t="shared" si="1"/>
        <v>0.744458897973167</v>
      </c>
      <c r="AF3">
        <f t="shared" si="1"/>
        <v>0.64921677231037855</v>
      </c>
      <c r="AG3">
        <f t="shared" si="1"/>
        <v>0.55747955670514593</v>
      </c>
      <c r="AH3">
        <f t="shared" si="1"/>
        <v>0.47016385909150515</v>
      </c>
      <c r="AI3">
        <f t="shared" si="1"/>
        <v>0.38814210905727931</v>
      </c>
      <c r="AJ3">
        <f t="shared" si="1"/>
        <v>0.31223384081602468</v>
      </c>
      <c r="AK3">
        <f t="shared" si="1"/>
        <v>0.24319750469207058</v>
      </c>
      <c r="AL3">
        <f t="shared" si="1"/>
        <v>0.18172288893558863</v>
      </c>
      <c r="AM3">
        <f t="shared" si="1"/>
        <v>0.12842422758641137</v>
      </c>
      <c r="AN3">
        <f t="shared" si="1"/>
        <v>8.3834063250544766E-2</v>
      </c>
      <c r="AO3">
        <f t="shared" si="1"/>
        <v>4.8397926110483991E-2</v>
      </c>
      <c r="AP3">
        <f t="shared" si="1"/>
        <v>2.2469882334902991E-2</v>
      </c>
      <c r="AQ3">
        <f t="shared" si="1"/>
        <v>6.3089963665355908E-3</v>
      </c>
      <c r="AR3">
        <f t="shared" si="1"/>
        <v>7.6742435899168626E-5</v>
      </c>
      <c r="AS3">
        <f t="shared" si="1"/>
        <v>3.8353911641592076E-3</v>
      </c>
      <c r="AT3">
        <f t="shared" si="1"/>
        <v>1.7547387375667189E-2</v>
      </c>
      <c r="AU3">
        <f t="shared" si="1"/>
        <v>4.1075725336860991E-2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4A37A-634F-4D9A-9D4F-6DDA15C05BA9}">
  <dimension ref="A1:J11"/>
  <sheetViews>
    <sheetView workbookViewId="0">
      <selection activeCell="G5" sqref="G5:G8"/>
    </sheetView>
  </sheetViews>
  <sheetFormatPr defaultRowHeight="15" x14ac:dyDescent="0.25"/>
  <cols>
    <col min="3" max="3" width="23" customWidth="1"/>
  </cols>
  <sheetData>
    <row r="1" spans="1:10" ht="108" thickBot="1" x14ac:dyDescent="0.3">
      <c r="A1" s="28" t="s">
        <v>25</v>
      </c>
      <c r="B1" s="29" t="s">
        <v>26</v>
      </c>
      <c r="C1" s="31" t="s">
        <v>27</v>
      </c>
      <c r="D1" s="29" t="s">
        <v>28</v>
      </c>
      <c r="E1" s="29" t="s">
        <v>29</v>
      </c>
      <c r="F1" s="29" t="s">
        <v>30</v>
      </c>
      <c r="G1" s="29" t="s">
        <v>31</v>
      </c>
      <c r="H1" s="29" t="s">
        <v>32</v>
      </c>
      <c r="I1" s="29" t="s">
        <v>33</v>
      </c>
      <c r="J1" s="30" t="s">
        <v>34</v>
      </c>
    </row>
    <row r="2" spans="1:10" ht="15.75" thickBot="1" x14ac:dyDescent="0.3">
      <c r="A2" s="23">
        <v>1</v>
      </c>
      <c r="B2" s="22">
        <f ca="1">RANDBETWEEN(100,125)</f>
        <v>102</v>
      </c>
      <c r="C2" s="22" t="s">
        <v>35</v>
      </c>
      <c r="D2" s="22">
        <f ca="1">RANDBETWEEN(0,100)</f>
        <v>85</v>
      </c>
      <c r="E2" s="22">
        <f t="shared" ref="E2:J11" ca="1" si="0">RANDBETWEEN(0,100)</f>
        <v>92</v>
      </c>
      <c r="F2" s="22">
        <f t="shared" ca="1" si="0"/>
        <v>49</v>
      </c>
      <c r="G2" s="22">
        <f t="shared" ca="1" si="0"/>
        <v>37</v>
      </c>
      <c r="H2" s="22">
        <f t="shared" ca="1" si="0"/>
        <v>86</v>
      </c>
      <c r="I2" s="22">
        <f t="shared" ca="1" si="0"/>
        <v>11</v>
      </c>
      <c r="J2" s="24">
        <f t="shared" ca="1" si="0"/>
        <v>18</v>
      </c>
    </row>
    <row r="3" spans="1:10" ht="15.75" thickBot="1" x14ac:dyDescent="0.3">
      <c r="A3" s="23">
        <v>2</v>
      </c>
      <c r="B3" s="22">
        <f t="shared" ref="B3:B11" ca="1" si="1">RANDBETWEEN(100,125)</f>
        <v>124</v>
      </c>
      <c r="C3" s="22" t="s">
        <v>36</v>
      </c>
      <c r="D3" s="22">
        <f t="shared" ref="D3:D11" ca="1" si="2">RANDBETWEEN(0,100)</f>
        <v>86</v>
      </c>
      <c r="E3" s="22">
        <f t="shared" ca="1" si="0"/>
        <v>34</v>
      </c>
      <c r="F3" s="22">
        <f t="shared" ca="1" si="0"/>
        <v>79</v>
      </c>
      <c r="G3" s="22">
        <f t="shared" ca="1" si="0"/>
        <v>46</v>
      </c>
      <c r="H3" s="22">
        <f t="shared" ca="1" si="0"/>
        <v>8</v>
      </c>
      <c r="I3" s="22">
        <f t="shared" ca="1" si="0"/>
        <v>0</v>
      </c>
      <c r="J3" s="24">
        <f t="shared" ca="1" si="0"/>
        <v>23</v>
      </c>
    </row>
    <row r="4" spans="1:10" ht="15.75" thickBot="1" x14ac:dyDescent="0.3">
      <c r="A4" s="23">
        <v>3</v>
      </c>
      <c r="B4" s="22">
        <f t="shared" ca="1" si="1"/>
        <v>106</v>
      </c>
      <c r="C4" s="22" t="s">
        <v>37</v>
      </c>
      <c r="D4" s="22">
        <f t="shared" ca="1" si="2"/>
        <v>33</v>
      </c>
      <c r="E4" s="22">
        <f t="shared" ca="1" si="0"/>
        <v>63</v>
      </c>
      <c r="F4" s="22">
        <f t="shared" ca="1" si="0"/>
        <v>8</v>
      </c>
      <c r="G4" s="22">
        <f t="shared" ca="1" si="0"/>
        <v>15</v>
      </c>
      <c r="H4" s="22">
        <f t="shared" ca="1" si="0"/>
        <v>19</v>
      </c>
      <c r="I4" s="22">
        <f t="shared" ca="1" si="0"/>
        <v>53</v>
      </c>
      <c r="J4" s="24">
        <f t="shared" ca="1" si="0"/>
        <v>8</v>
      </c>
    </row>
    <row r="5" spans="1:10" ht="15.75" thickBot="1" x14ac:dyDescent="0.3">
      <c r="A5" s="23">
        <v>4</v>
      </c>
      <c r="B5" s="22">
        <f t="shared" ca="1" si="1"/>
        <v>106</v>
      </c>
      <c r="C5" s="22" t="s">
        <v>38</v>
      </c>
      <c r="D5" s="22">
        <f t="shared" ca="1" si="2"/>
        <v>59</v>
      </c>
      <c r="E5" s="22">
        <f t="shared" ca="1" si="0"/>
        <v>98</v>
      </c>
      <c r="F5" s="22">
        <f t="shared" ca="1" si="0"/>
        <v>3</v>
      </c>
      <c r="G5" s="22">
        <f t="shared" ca="1" si="0"/>
        <v>19</v>
      </c>
      <c r="H5" s="22">
        <f t="shared" ca="1" si="0"/>
        <v>20</v>
      </c>
      <c r="I5" s="22">
        <f t="shared" ca="1" si="0"/>
        <v>13</v>
      </c>
      <c r="J5" s="24">
        <f t="shared" ca="1" si="0"/>
        <v>39</v>
      </c>
    </row>
    <row r="6" spans="1:10" ht="15.75" thickBot="1" x14ac:dyDescent="0.3">
      <c r="A6" s="23">
        <v>5</v>
      </c>
      <c r="B6" s="22">
        <f t="shared" ca="1" si="1"/>
        <v>114</v>
      </c>
      <c r="C6" s="22" t="s">
        <v>39</v>
      </c>
      <c r="D6" s="22">
        <f t="shared" ca="1" si="2"/>
        <v>85</v>
      </c>
      <c r="E6" s="22">
        <f t="shared" ca="1" si="0"/>
        <v>54</v>
      </c>
      <c r="F6" s="22">
        <f t="shared" ca="1" si="0"/>
        <v>40</v>
      </c>
      <c r="G6" s="22">
        <f t="shared" ca="1" si="0"/>
        <v>73</v>
      </c>
      <c r="H6" s="22">
        <f t="shared" ca="1" si="0"/>
        <v>51</v>
      </c>
      <c r="I6" s="22">
        <f t="shared" ca="1" si="0"/>
        <v>22</v>
      </c>
      <c r="J6" s="24">
        <f t="shared" ca="1" si="0"/>
        <v>78</v>
      </c>
    </row>
    <row r="7" spans="1:10" ht="15.75" thickBot="1" x14ac:dyDescent="0.3">
      <c r="A7" s="23">
        <v>6</v>
      </c>
      <c r="B7" s="22">
        <f t="shared" ca="1" si="1"/>
        <v>101</v>
      </c>
      <c r="C7" s="22" t="s">
        <v>40</v>
      </c>
      <c r="D7" s="22">
        <f t="shared" ca="1" si="2"/>
        <v>24</v>
      </c>
      <c r="E7" s="22">
        <f t="shared" ca="1" si="0"/>
        <v>19</v>
      </c>
      <c r="F7" s="22">
        <f t="shared" ca="1" si="0"/>
        <v>77</v>
      </c>
      <c r="G7" s="22">
        <f t="shared" ca="1" si="0"/>
        <v>25</v>
      </c>
      <c r="H7" s="22">
        <f t="shared" ca="1" si="0"/>
        <v>61</v>
      </c>
      <c r="I7" s="22">
        <f t="shared" ca="1" si="0"/>
        <v>94</v>
      </c>
      <c r="J7" s="24">
        <f t="shared" ca="1" si="0"/>
        <v>54</v>
      </c>
    </row>
    <row r="8" spans="1:10" ht="15.75" thickBot="1" x14ac:dyDescent="0.3">
      <c r="A8" s="23">
        <v>7</v>
      </c>
      <c r="B8" s="22">
        <f t="shared" ca="1" si="1"/>
        <v>120</v>
      </c>
      <c r="C8" s="22" t="s">
        <v>41</v>
      </c>
      <c r="D8" s="22">
        <f t="shared" ca="1" si="2"/>
        <v>89</v>
      </c>
      <c r="E8" s="22">
        <f t="shared" ca="1" si="0"/>
        <v>69</v>
      </c>
      <c r="F8" s="22">
        <f t="shared" ca="1" si="0"/>
        <v>42</v>
      </c>
      <c r="G8" s="22">
        <f t="shared" ca="1" si="0"/>
        <v>75</v>
      </c>
      <c r="H8" s="22">
        <f t="shared" ca="1" si="0"/>
        <v>1</v>
      </c>
      <c r="I8" s="22">
        <f t="shared" ca="1" si="0"/>
        <v>50</v>
      </c>
      <c r="J8" s="24">
        <f t="shared" ca="1" si="0"/>
        <v>62</v>
      </c>
    </row>
    <row r="9" spans="1:10" ht="15.75" thickBot="1" x14ac:dyDescent="0.3">
      <c r="A9" s="23">
        <v>8</v>
      </c>
      <c r="B9" s="22">
        <f t="shared" ca="1" si="1"/>
        <v>115</v>
      </c>
      <c r="C9" s="22" t="s">
        <v>42</v>
      </c>
      <c r="D9" s="22">
        <f t="shared" ca="1" si="2"/>
        <v>97</v>
      </c>
      <c r="E9" s="22">
        <f t="shared" ca="1" si="0"/>
        <v>14</v>
      </c>
      <c r="F9" s="22">
        <f t="shared" ca="1" si="0"/>
        <v>20</v>
      </c>
      <c r="G9" s="22">
        <f t="shared" ca="1" si="0"/>
        <v>27</v>
      </c>
      <c r="H9" s="22">
        <f t="shared" ca="1" si="0"/>
        <v>0</v>
      </c>
      <c r="I9" s="22">
        <f t="shared" ca="1" si="0"/>
        <v>37</v>
      </c>
      <c r="J9" s="24">
        <f t="shared" ca="1" si="0"/>
        <v>95</v>
      </c>
    </row>
    <row r="10" spans="1:10" ht="15.75" thickBot="1" x14ac:dyDescent="0.3">
      <c r="A10" s="23">
        <v>9</v>
      </c>
      <c r="B10" s="22">
        <f t="shared" ca="1" si="1"/>
        <v>118</v>
      </c>
      <c r="C10" s="22" t="s">
        <v>43</v>
      </c>
      <c r="D10" s="22">
        <f t="shared" ca="1" si="2"/>
        <v>45</v>
      </c>
      <c r="E10" s="22">
        <f t="shared" ca="1" si="0"/>
        <v>25</v>
      </c>
      <c r="F10" s="22">
        <f t="shared" ca="1" si="0"/>
        <v>53</v>
      </c>
      <c r="G10" s="22">
        <f t="shared" ca="1" si="0"/>
        <v>59</v>
      </c>
      <c r="H10" s="22">
        <f t="shared" ca="1" si="0"/>
        <v>85</v>
      </c>
      <c r="I10" s="22">
        <f t="shared" ca="1" si="0"/>
        <v>5</v>
      </c>
      <c r="J10" s="24">
        <f t="shared" ca="1" si="0"/>
        <v>22</v>
      </c>
    </row>
    <row r="11" spans="1:10" ht="15.75" thickBot="1" x14ac:dyDescent="0.3">
      <c r="A11" s="25">
        <v>10</v>
      </c>
      <c r="B11" s="26">
        <f t="shared" ca="1" si="1"/>
        <v>108</v>
      </c>
      <c r="C11" s="26" t="s">
        <v>44</v>
      </c>
      <c r="D11" s="26">
        <f t="shared" ca="1" si="2"/>
        <v>79</v>
      </c>
      <c r="E11" s="26">
        <f t="shared" ca="1" si="0"/>
        <v>43</v>
      </c>
      <c r="F11" s="26">
        <f t="shared" ca="1" si="0"/>
        <v>52</v>
      </c>
      <c r="G11" s="26">
        <f t="shared" ca="1" si="0"/>
        <v>29</v>
      </c>
      <c r="H11" s="26">
        <f t="shared" ca="1" si="0"/>
        <v>95</v>
      </c>
      <c r="I11" s="26">
        <f t="shared" ca="1" si="0"/>
        <v>71</v>
      </c>
      <c r="J11" s="27">
        <f t="shared" ca="1" si="0"/>
        <v>74</v>
      </c>
    </row>
  </sheetData>
  <conditionalFormatting sqref="D2:J11">
    <cfRule type="cellIs" dxfId="3" priority="1" operator="between">
      <formula>0</formula>
      <formula>51</formula>
    </cfRule>
    <cfRule type="cellIs" dxfId="2" priority="2" operator="greaterThan">
      <formula>85</formula>
    </cfRule>
    <cfRule type="cellIs" dxfId="1" priority="3" operator="between">
      <formula>71</formula>
      <formula>85</formula>
    </cfRule>
    <cfRule type="cellIs" dxfId="0" priority="4" operator="between">
      <formula>51</formula>
      <formula>70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8AD8E-B382-4F10-9E1C-9C35DF5B7D68}">
  <dimension ref="A1:A8"/>
  <sheetViews>
    <sheetView topLeftCell="A2" workbookViewId="0">
      <selection activeCell="A5" sqref="A5"/>
    </sheetView>
  </sheetViews>
  <sheetFormatPr defaultRowHeight="15" x14ac:dyDescent="0.25"/>
  <cols>
    <col min="1" max="1" width="15.28515625" bestFit="1" customWidth="1"/>
  </cols>
  <sheetData>
    <row r="1" spans="1:1" x14ac:dyDescent="0.25">
      <c r="A1" s="32">
        <f ca="1">TODAY()</f>
        <v>46008</v>
      </c>
    </row>
    <row r="2" spans="1:1" x14ac:dyDescent="0.25">
      <c r="A2">
        <f ca="1">YEAR(TODAY())</f>
        <v>2025</v>
      </c>
    </row>
    <row r="3" spans="1:1" x14ac:dyDescent="0.25">
      <c r="A3">
        <f ca="1">WEEKDAY(TODAY(),2)</f>
        <v>3</v>
      </c>
    </row>
    <row r="4" spans="1:1" x14ac:dyDescent="0.25">
      <c r="A4" t="str">
        <f ca="1">TEXT(TODAY(), "ДДДД")</f>
        <v>среда</v>
      </c>
    </row>
    <row r="5" spans="1:1" x14ac:dyDescent="0.25">
      <c r="A5" s="32">
        <v>39526</v>
      </c>
    </row>
    <row r="6" spans="1:1" x14ac:dyDescent="0.25">
      <c r="A6">
        <f ca="1">YEAR(TODAY())-YEAR(A5)</f>
        <v>17</v>
      </c>
    </row>
    <row r="7" spans="1:1" x14ac:dyDescent="0.25">
      <c r="A7" s="33">
        <f ca="1">NOW()</f>
        <v>46008.616884143521</v>
      </c>
    </row>
    <row r="8" spans="1:1" x14ac:dyDescent="0.25">
      <c r="A8" s="33" t="str">
        <f ca="1">TEXT(NOW(), "ЧЧ:ММ:СС")</f>
        <v>14:48:19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B7CA4-7B14-4DEC-A46A-724D5209235E}">
  <dimension ref="A1:B1"/>
  <sheetViews>
    <sheetView workbookViewId="0">
      <selection activeCell="B1" sqref="B1"/>
    </sheetView>
  </sheetViews>
  <sheetFormatPr defaultRowHeight="15" x14ac:dyDescent="0.25"/>
  <sheetData>
    <row r="1" spans="1:2" x14ac:dyDescent="0.25">
      <c r="A1" t="str">
        <f ca="1">TEXT(NOW(), "ЧЧ:ММ:СС")</f>
        <v>14:48:19</v>
      </c>
      <c r="B1" t="str">
        <f ca="1">IF(AND(A1&gt;=TIME(13,0,0), A1&lt;=TIME(14,0,0)), "Обед", "Работаем")</f>
        <v>Работаем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E508B-47B7-4AEE-A2F8-35EA38BD6838}">
  <dimension ref="A1:H12"/>
  <sheetViews>
    <sheetView workbookViewId="0">
      <selection activeCell="H4" sqref="H4"/>
    </sheetView>
  </sheetViews>
  <sheetFormatPr defaultRowHeight="15" x14ac:dyDescent="0.25"/>
  <cols>
    <col min="2" max="2" width="15.5703125" bestFit="1" customWidth="1"/>
    <col min="3" max="3" width="9" bestFit="1" customWidth="1"/>
    <col min="4" max="4" width="8.140625" bestFit="1" customWidth="1"/>
    <col min="5" max="5" width="8.5703125" bestFit="1" customWidth="1"/>
    <col min="6" max="6" width="7" bestFit="1" customWidth="1"/>
    <col min="7" max="7" width="8.5703125" bestFit="1" customWidth="1"/>
    <col min="8" max="8" width="12.7109375" customWidth="1"/>
    <col min="11" max="11" width="9.140625" customWidth="1"/>
  </cols>
  <sheetData>
    <row r="1" spans="1:8" ht="45" x14ac:dyDescent="0.25">
      <c r="A1" s="35" t="s">
        <v>0</v>
      </c>
      <c r="B1" s="35" t="s">
        <v>59</v>
      </c>
      <c r="C1" s="35" t="s">
        <v>60</v>
      </c>
      <c r="D1" s="35" t="s">
        <v>45</v>
      </c>
      <c r="E1" s="35" t="s">
        <v>46</v>
      </c>
      <c r="F1" s="35" t="s">
        <v>47</v>
      </c>
      <c r="G1" s="35" t="s">
        <v>48</v>
      </c>
      <c r="H1" s="34"/>
    </row>
    <row r="2" spans="1:8" x14ac:dyDescent="0.25">
      <c r="A2" s="2">
        <v>1</v>
      </c>
      <c r="B2" s="2" t="s">
        <v>49</v>
      </c>
      <c r="C2" s="2">
        <f ca="1">RANDBETWEEN(3,5)</f>
        <v>4</v>
      </c>
      <c r="D2" s="2">
        <f t="shared" ref="D2:E2" ca="1" si="0">RANDBETWEEN(3,5)</f>
        <v>4</v>
      </c>
      <c r="E2" s="2">
        <f t="shared" ca="1" si="0"/>
        <v>5</v>
      </c>
      <c r="F2" s="2">
        <f ca="1">C2+D2+E2</f>
        <v>13</v>
      </c>
      <c r="G2" s="2" t="str">
        <f ca="1">IF(AND(F2&gt;=$F$12,OR(C2=4,C2=5)),"да","нет")</f>
        <v>да</v>
      </c>
      <c r="H2" s="63" t="str">
        <f ca="1">IF(F2&gt;=12,"поступил",IF(AND(F2&gt;=10,F2&lt;12),"вступ.",IF(F2&lt;10,"не поступил",)))</f>
        <v>поступил</v>
      </c>
    </row>
    <row r="3" spans="1:8" x14ac:dyDescent="0.25">
      <c r="A3" s="2">
        <v>2</v>
      </c>
      <c r="B3" s="2" t="s">
        <v>50</v>
      </c>
      <c r="C3" s="2">
        <f t="shared" ref="C3:E11" ca="1" si="1">RANDBETWEEN(3,5)</f>
        <v>3</v>
      </c>
      <c r="D3" s="2">
        <f t="shared" ca="1" si="1"/>
        <v>4</v>
      </c>
      <c r="E3" s="2">
        <f t="shared" ca="1" si="1"/>
        <v>3</v>
      </c>
      <c r="F3" s="2">
        <f t="shared" ref="F3:F11" ca="1" si="2">C3+D3+E3</f>
        <v>10</v>
      </c>
      <c r="G3" s="2" t="str">
        <f t="shared" ref="G2:G4" ca="1" si="3">IF(AND(F3&gt;=$F$12,OR(C3=4,C3=5)),"да","нет")</f>
        <v>нет</v>
      </c>
      <c r="H3" s="63" t="str">
        <f ca="1">IF(F3&gt;=12,"поступил",IF(AND(F3&gt;=10,F3&lt;12),"вступ.",IF(F3&lt;10,"не поступил",)))</f>
        <v>вступ.</v>
      </c>
    </row>
    <row r="4" spans="1:8" x14ac:dyDescent="0.25">
      <c r="A4" s="2">
        <v>3</v>
      </c>
      <c r="B4" s="2" t="s">
        <v>51</v>
      </c>
      <c r="C4" s="2">
        <f t="shared" ca="1" si="1"/>
        <v>4</v>
      </c>
      <c r="D4" s="2">
        <f t="shared" ca="1" si="1"/>
        <v>5</v>
      </c>
      <c r="E4" s="2">
        <f t="shared" ca="1" si="1"/>
        <v>4</v>
      </c>
      <c r="F4" s="2">
        <f t="shared" ca="1" si="2"/>
        <v>13</v>
      </c>
      <c r="G4" s="2" t="str">
        <f t="shared" ca="1" si="3"/>
        <v>да</v>
      </c>
      <c r="H4" s="63" t="str">
        <f ca="1">IF(F4&gt;=12,"поступил",IF(AND(F4&gt;=10,F4&lt;12),"вступ.",IF(F4&lt;10,"не поступил",)))</f>
        <v>поступил</v>
      </c>
    </row>
    <row r="5" spans="1:8" x14ac:dyDescent="0.25">
      <c r="A5" s="2">
        <v>4</v>
      </c>
      <c r="B5" s="2" t="s">
        <v>52</v>
      </c>
      <c r="C5" s="2">
        <f t="shared" ca="1" si="1"/>
        <v>3</v>
      </c>
      <c r="D5" s="2">
        <f t="shared" ca="1" si="1"/>
        <v>4</v>
      </c>
      <c r="E5" s="2">
        <f t="shared" ca="1" si="1"/>
        <v>5</v>
      </c>
      <c r="F5" s="2">
        <f t="shared" ca="1" si="2"/>
        <v>12</v>
      </c>
      <c r="G5" s="2" t="str">
        <f ca="1">IF(AND(F5&gt;=$F$12,OR(C5=4,C5=5)),"да","нет")</f>
        <v>нет</v>
      </c>
      <c r="H5" s="63" t="str">
        <f ca="1">IF(F5&gt;=12,"поступил",IF(AND(F5&gt;=10,F5&lt;12),"вступ.",IF(F5&lt;10,"не поступил",)))</f>
        <v>поступил</v>
      </c>
    </row>
    <row r="6" spans="1:8" x14ac:dyDescent="0.25">
      <c r="A6" s="2">
        <v>5</v>
      </c>
      <c r="B6" s="2" t="s">
        <v>53</v>
      </c>
      <c r="C6" s="2">
        <f t="shared" ca="1" si="1"/>
        <v>3</v>
      </c>
      <c r="D6" s="2">
        <f t="shared" ca="1" si="1"/>
        <v>5</v>
      </c>
      <c r="E6" s="2">
        <f t="shared" ca="1" si="1"/>
        <v>3</v>
      </c>
      <c r="F6" s="2">
        <f t="shared" ca="1" si="2"/>
        <v>11</v>
      </c>
      <c r="G6" s="2" t="str">
        <f t="shared" ref="G6:G11" ca="1" si="4">IF(AND(F6&gt;=$F$12,OR(C6=4,C6=5)),"да","нет")</f>
        <v>нет</v>
      </c>
      <c r="H6" s="63" t="str">
        <f t="shared" ref="H6:H11" ca="1" si="5">IF(F6&gt;=12,"поступил",IF(AND(F6&gt;=10,F6&lt;12),"вступ.",IF(F6&lt;10,"не поступил",)))</f>
        <v>вступ.</v>
      </c>
    </row>
    <row r="7" spans="1:8" x14ac:dyDescent="0.25">
      <c r="A7" s="2">
        <v>6</v>
      </c>
      <c r="B7" s="2" t="s">
        <v>54</v>
      </c>
      <c r="C7" s="2">
        <f t="shared" ca="1" si="1"/>
        <v>4</v>
      </c>
      <c r="D7" s="2">
        <f t="shared" ca="1" si="1"/>
        <v>3</v>
      </c>
      <c r="E7" s="2">
        <f t="shared" ca="1" si="1"/>
        <v>4</v>
      </c>
      <c r="F7" s="2">
        <f t="shared" ca="1" si="2"/>
        <v>11</v>
      </c>
      <c r="G7" s="2" t="str">
        <f t="shared" ca="1" si="4"/>
        <v>нет</v>
      </c>
      <c r="H7" s="63" t="str">
        <f t="shared" ca="1" si="5"/>
        <v>вступ.</v>
      </c>
    </row>
    <row r="8" spans="1:8" x14ac:dyDescent="0.25">
      <c r="A8" s="2">
        <v>7</v>
      </c>
      <c r="B8" s="2" t="s">
        <v>55</v>
      </c>
      <c r="C8" s="2">
        <f t="shared" ca="1" si="1"/>
        <v>5</v>
      </c>
      <c r="D8" s="2">
        <f t="shared" ca="1" si="1"/>
        <v>5</v>
      </c>
      <c r="E8" s="2">
        <f t="shared" ca="1" si="1"/>
        <v>4</v>
      </c>
      <c r="F8" s="2">
        <f t="shared" ca="1" si="2"/>
        <v>14</v>
      </c>
      <c r="G8" s="2" t="str">
        <f t="shared" ca="1" si="4"/>
        <v>да</v>
      </c>
      <c r="H8" s="63" t="str">
        <f t="shared" ca="1" si="5"/>
        <v>поступил</v>
      </c>
    </row>
    <row r="9" spans="1:8" x14ac:dyDescent="0.25">
      <c r="A9" s="2">
        <v>8</v>
      </c>
      <c r="B9" s="2" t="s">
        <v>56</v>
      </c>
      <c r="C9" s="2">
        <f t="shared" ca="1" si="1"/>
        <v>5</v>
      </c>
      <c r="D9" s="2">
        <f t="shared" ca="1" si="1"/>
        <v>4</v>
      </c>
      <c r="E9" s="2">
        <f t="shared" ca="1" si="1"/>
        <v>4</v>
      </c>
      <c r="F9" s="2">
        <f t="shared" ca="1" si="2"/>
        <v>13</v>
      </c>
      <c r="G9" s="2" t="str">
        <f t="shared" ca="1" si="4"/>
        <v>да</v>
      </c>
      <c r="H9" s="63" t="str">
        <f t="shared" ca="1" si="5"/>
        <v>поступил</v>
      </c>
    </row>
    <row r="10" spans="1:8" x14ac:dyDescent="0.25">
      <c r="A10" s="2">
        <v>9</v>
      </c>
      <c r="B10" s="2" t="s">
        <v>57</v>
      </c>
      <c r="C10" s="2">
        <f t="shared" ca="1" si="1"/>
        <v>4</v>
      </c>
      <c r="D10" s="2">
        <f t="shared" ca="1" si="1"/>
        <v>3</v>
      </c>
      <c r="E10" s="2">
        <f t="shared" ca="1" si="1"/>
        <v>3</v>
      </c>
      <c r="F10" s="2">
        <f t="shared" ca="1" si="2"/>
        <v>10</v>
      </c>
      <c r="G10" s="2" t="str">
        <f t="shared" ca="1" si="4"/>
        <v>нет</v>
      </c>
      <c r="H10" s="63" t="str">
        <f t="shared" ca="1" si="5"/>
        <v>вступ.</v>
      </c>
    </row>
    <row r="11" spans="1:8" x14ac:dyDescent="0.25">
      <c r="A11" s="2">
        <v>10</v>
      </c>
      <c r="B11" s="2" t="s">
        <v>58</v>
      </c>
      <c r="C11" s="2">
        <f t="shared" ca="1" si="1"/>
        <v>3</v>
      </c>
      <c r="D11" s="2">
        <f t="shared" ca="1" si="1"/>
        <v>5</v>
      </c>
      <c r="E11" s="2">
        <f t="shared" ca="1" si="1"/>
        <v>3</v>
      </c>
      <c r="F11" s="2">
        <f t="shared" ca="1" si="2"/>
        <v>11</v>
      </c>
      <c r="G11" s="2" t="str">
        <f t="shared" ca="1" si="4"/>
        <v>нет</v>
      </c>
      <c r="H11" s="63" t="str">
        <f t="shared" ca="1" si="5"/>
        <v>вступ.</v>
      </c>
    </row>
    <row r="12" spans="1:8" x14ac:dyDescent="0.25">
      <c r="C12" s="60" t="s">
        <v>61</v>
      </c>
      <c r="D12" s="61"/>
      <c r="E12" s="62"/>
      <c r="F12" s="2">
        <v>13</v>
      </c>
    </row>
  </sheetData>
  <mergeCells count="1">
    <mergeCell ref="C12:E1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23972-2B0E-4CFD-AEFC-5D6E3D6E12F5}">
  <dimension ref="A1:J30"/>
  <sheetViews>
    <sheetView tabSelected="1" workbookViewId="0">
      <selection activeCell="G30" sqref="G29:G30"/>
    </sheetView>
  </sheetViews>
  <sheetFormatPr defaultRowHeight="15" x14ac:dyDescent="0.25"/>
  <cols>
    <col min="1" max="1" width="5.42578125" bestFit="1" customWidth="1"/>
    <col min="2" max="2" width="38.85546875" bestFit="1" customWidth="1"/>
    <col min="3" max="3" width="20.42578125" bestFit="1" customWidth="1"/>
    <col min="4" max="4" width="22" bestFit="1" customWidth="1"/>
    <col min="5" max="5" width="12.28515625" bestFit="1" customWidth="1"/>
    <col min="6" max="6" width="11.42578125" bestFit="1" customWidth="1"/>
    <col min="7" max="7" width="19.42578125" style="42" bestFit="1" customWidth="1"/>
  </cols>
  <sheetData>
    <row r="1" spans="1:10" ht="24" x14ac:dyDescent="0.25">
      <c r="A1" s="37" t="s">
        <v>0</v>
      </c>
      <c r="B1" s="37" t="s">
        <v>65</v>
      </c>
      <c r="C1" s="37" t="s">
        <v>62</v>
      </c>
      <c r="D1" s="37" t="s">
        <v>66</v>
      </c>
      <c r="E1" s="37" t="s">
        <v>67</v>
      </c>
      <c r="F1" s="53" t="s">
        <v>79</v>
      </c>
      <c r="G1" s="54" t="s">
        <v>80</v>
      </c>
    </row>
    <row r="2" spans="1:10" ht="18.75" x14ac:dyDescent="0.25">
      <c r="A2" s="38">
        <v>1</v>
      </c>
      <c r="B2" s="38" t="s">
        <v>63</v>
      </c>
      <c r="C2" s="39">
        <v>45000</v>
      </c>
      <c r="D2" s="40">
        <v>45000</v>
      </c>
      <c r="E2" s="41" t="s">
        <v>64</v>
      </c>
      <c r="F2" s="55">
        <f ca="1">DATEDIF(C2, TODAY(), "y")</f>
        <v>2</v>
      </c>
      <c r="G2" s="56">
        <f ca="1">IF(F2&lt;3,MIN($D$2:$D$11), IF(F2&lt;8, MIN($D$2:$D$11)*0.8, IF(F2&lt;=17, MIN($D$2:$D$11)*0.6, 0)))</f>
        <v>38000</v>
      </c>
    </row>
    <row r="3" spans="1:10" ht="18.75" x14ac:dyDescent="0.25">
      <c r="A3" s="38">
        <v>2</v>
      </c>
      <c r="B3" s="38" t="s">
        <v>68</v>
      </c>
      <c r="C3" s="39">
        <v>43334</v>
      </c>
      <c r="D3" s="40">
        <v>52000</v>
      </c>
      <c r="E3" s="41" t="s">
        <v>64</v>
      </c>
      <c r="F3" s="55">
        <f t="shared" ref="F3:F11" ca="1" si="0">DATEDIF(C3, TODAY(), "y")</f>
        <v>7</v>
      </c>
      <c r="G3" s="56">
        <f t="shared" ref="G3:G11" ca="1" si="1">IF(F3&lt;3,MIN($D$2:$D$11), IF(F3&lt;8, MIN($D$2:$D$11)*0.8, IF(F3&lt;=17, MIN($D$2:$D$11)*0.6, 0)))</f>
        <v>30400</v>
      </c>
    </row>
    <row r="4" spans="1:10" ht="18.75" x14ac:dyDescent="0.25">
      <c r="A4" s="38">
        <v>3</v>
      </c>
      <c r="B4" s="38" t="s">
        <v>69</v>
      </c>
      <c r="C4" s="39">
        <v>40522</v>
      </c>
      <c r="D4" s="40">
        <v>48000</v>
      </c>
      <c r="E4" s="41" t="s">
        <v>64</v>
      </c>
      <c r="F4" s="55">
        <f t="shared" ca="1" si="0"/>
        <v>15</v>
      </c>
      <c r="G4" s="56">
        <f t="shared" ca="1" si="1"/>
        <v>22800</v>
      </c>
      <c r="H4" s="36"/>
      <c r="I4" s="36"/>
      <c r="J4" s="36"/>
    </row>
    <row r="5" spans="1:10" ht="18.75" x14ac:dyDescent="0.25">
      <c r="A5" s="38">
        <v>4</v>
      </c>
      <c r="B5" s="38" t="s">
        <v>70</v>
      </c>
      <c r="C5" s="39">
        <v>38477</v>
      </c>
      <c r="D5" s="40">
        <v>61000</v>
      </c>
      <c r="E5" s="41" t="s">
        <v>64</v>
      </c>
      <c r="F5" s="55">
        <f t="shared" ca="1" si="0"/>
        <v>20</v>
      </c>
      <c r="G5" s="56">
        <f t="shared" ca="1" si="1"/>
        <v>0</v>
      </c>
      <c r="H5" s="36"/>
      <c r="I5" s="36"/>
      <c r="J5" s="36"/>
    </row>
    <row r="6" spans="1:10" ht="18.75" x14ac:dyDescent="0.25">
      <c r="A6" s="38">
        <v>5</v>
      </c>
      <c r="B6" s="38" t="s">
        <v>71</v>
      </c>
      <c r="C6" s="39">
        <v>44042</v>
      </c>
      <c r="D6" s="40">
        <v>38000</v>
      </c>
      <c r="E6" s="41" t="s">
        <v>72</v>
      </c>
      <c r="F6" s="55">
        <f t="shared" ca="1" si="0"/>
        <v>5</v>
      </c>
      <c r="G6" s="56">
        <f t="shared" ca="1" si="1"/>
        <v>30400</v>
      </c>
      <c r="H6" s="36"/>
      <c r="I6" s="36"/>
      <c r="J6" s="36"/>
    </row>
    <row r="7" spans="1:10" ht="18.75" x14ac:dyDescent="0.25">
      <c r="A7" s="38">
        <v>6</v>
      </c>
      <c r="B7" s="38" t="s">
        <v>73</v>
      </c>
      <c r="C7" s="39">
        <v>41227</v>
      </c>
      <c r="D7" s="40">
        <v>55000</v>
      </c>
      <c r="E7" s="41" t="s">
        <v>72</v>
      </c>
      <c r="F7" s="55">
        <f t="shared" ca="1" si="0"/>
        <v>13</v>
      </c>
      <c r="G7" s="56">
        <f t="shared" ca="1" si="1"/>
        <v>22800</v>
      </c>
      <c r="H7" s="36"/>
      <c r="I7" s="36"/>
      <c r="J7" s="36"/>
    </row>
    <row r="8" spans="1:10" ht="18.75" x14ac:dyDescent="0.25">
      <c r="A8" s="38">
        <v>7</v>
      </c>
      <c r="B8" s="38" t="s">
        <v>74</v>
      </c>
      <c r="C8" s="39">
        <v>37622</v>
      </c>
      <c r="D8" s="40">
        <v>72000</v>
      </c>
      <c r="E8" s="41" t="s">
        <v>72</v>
      </c>
      <c r="F8" s="55">
        <f t="shared" ca="1" si="0"/>
        <v>22</v>
      </c>
      <c r="G8" s="56">
        <f t="shared" ca="1" si="1"/>
        <v>0</v>
      </c>
      <c r="H8" s="36"/>
      <c r="I8" s="36"/>
      <c r="J8" s="36"/>
    </row>
    <row r="9" spans="1:10" ht="18.75" x14ac:dyDescent="0.25">
      <c r="A9" s="38">
        <v>8</v>
      </c>
      <c r="B9" s="38" t="s">
        <v>75</v>
      </c>
      <c r="C9" s="39">
        <v>44822</v>
      </c>
      <c r="D9" s="40">
        <v>42000</v>
      </c>
      <c r="E9" s="41" t="s">
        <v>76</v>
      </c>
      <c r="F9" s="55">
        <f t="shared" ca="1" si="0"/>
        <v>3</v>
      </c>
      <c r="G9" s="56">
        <f t="shared" ca="1" si="1"/>
        <v>30400</v>
      </c>
      <c r="H9" s="36"/>
      <c r="I9" s="36"/>
      <c r="J9" s="36"/>
    </row>
    <row r="10" spans="1:10" ht="18.75" x14ac:dyDescent="0.25">
      <c r="A10" s="38">
        <v>9</v>
      </c>
      <c r="B10" s="38" t="s">
        <v>77</v>
      </c>
      <c r="C10" s="39">
        <v>42515</v>
      </c>
      <c r="D10" s="40">
        <v>50000</v>
      </c>
      <c r="E10" s="41" t="s">
        <v>76</v>
      </c>
      <c r="F10" s="55">
        <f t="shared" ca="1" si="0"/>
        <v>9</v>
      </c>
      <c r="G10" s="56">
        <f t="shared" ca="1" si="1"/>
        <v>22800</v>
      </c>
    </row>
    <row r="11" spans="1:10" ht="18.75" x14ac:dyDescent="0.25">
      <c r="A11" s="38">
        <v>10</v>
      </c>
      <c r="B11" s="38" t="s">
        <v>78</v>
      </c>
      <c r="C11" s="39">
        <v>39700</v>
      </c>
      <c r="D11" s="40">
        <v>58000</v>
      </c>
      <c r="E11" s="41" t="s">
        <v>76</v>
      </c>
      <c r="F11" s="55">
        <f t="shared" ca="1" si="0"/>
        <v>17</v>
      </c>
      <c r="G11" s="56">
        <f t="shared" ca="1" si="1"/>
        <v>22800</v>
      </c>
    </row>
    <row r="13" spans="1:10" ht="15.75" thickBot="1" x14ac:dyDescent="0.3"/>
    <row r="14" spans="1:10" ht="19.5" thickBot="1" x14ac:dyDescent="0.35">
      <c r="B14" s="43" t="s">
        <v>81</v>
      </c>
      <c r="C14" s="43">
        <f ca="1">SUM(G2:G11)</f>
        <v>220400</v>
      </c>
    </row>
    <row r="15" spans="1:10" ht="15.75" thickBot="1" x14ac:dyDescent="0.3"/>
    <row r="16" spans="1:10" ht="19.5" thickBot="1" x14ac:dyDescent="0.35">
      <c r="B16" s="43" t="s">
        <v>82</v>
      </c>
      <c r="C16" s="44">
        <f ca="1">AVERAGE(F2:F11)</f>
        <v>11.3</v>
      </c>
    </row>
    <row r="17" spans="1:3" ht="15.75" thickBot="1" x14ac:dyDescent="0.3"/>
    <row r="18" spans="1:3" ht="19.5" thickBot="1" x14ac:dyDescent="0.35">
      <c r="B18" s="43" t="s">
        <v>83</v>
      </c>
      <c r="C18" s="43">
        <f ca="1">COUNTIF(F2:F11,"&gt;8")</f>
        <v>6</v>
      </c>
    </row>
    <row r="21" spans="1:3" ht="18.75" x14ac:dyDescent="0.25">
      <c r="A21" s="51" t="s">
        <v>0</v>
      </c>
      <c r="B21" s="48" t="s">
        <v>84</v>
      </c>
      <c r="C21" s="48" t="s">
        <v>85</v>
      </c>
    </row>
    <row r="22" spans="1:3" ht="18.75" x14ac:dyDescent="0.25">
      <c r="A22" s="51">
        <v>1</v>
      </c>
      <c r="B22" s="49" t="s">
        <v>86</v>
      </c>
      <c r="C22" s="50">
        <f ca="1">SUMIF(B2:B11, "Иванов*", G2:G11)</f>
        <v>91200</v>
      </c>
    </row>
    <row r="23" spans="1:3" ht="18.75" x14ac:dyDescent="0.25">
      <c r="A23" s="51">
        <v>2</v>
      </c>
      <c r="B23" s="49" t="s">
        <v>87</v>
      </c>
      <c r="C23" s="52">
        <f ca="1">SUMIF(B2:B11, "Петров*", G2:G11)</f>
        <v>76000</v>
      </c>
    </row>
    <row r="24" spans="1:3" ht="18.75" x14ac:dyDescent="0.25">
      <c r="A24" s="51">
        <v>3</v>
      </c>
      <c r="B24" s="49" t="s">
        <v>88</v>
      </c>
      <c r="C24" s="50">
        <f ca="1">SUMIF(B2:B11, "Сидоров*", G2:G11)</f>
        <v>22800</v>
      </c>
    </row>
    <row r="25" spans="1:3" ht="18.75" x14ac:dyDescent="0.25">
      <c r="A25" s="51">
        <v>4</v>
      </c>
      <c r="B25" s="49" t="s">
        <v>89</v>
      </c>
      <c r="C25" s="50">
        <f ca="1">SUMIF(B2:B11, "Кузнецов*", G2:G11)</f>
        <v>30400</v>
      </c>
    </row>
    <row r="27" spans="1:3" ht="18.75" x14ac:dyDescent="0.25">
      <c r="A27" s="2" t="s">
        <v>0</v>
      </c>
      <c r="B27" s="45" t="s">
        <v>67</v>
      </c>
      <c r="C27" s="45" t="s">
        <v>90</v>
      </c>
    </row>
    <row r="28" spans="1:3" ht="18.75" x14ac:dyDescent="0.25">
      <c r="A28" s="2">
        <v>1</v>
      </c>
      <c r="B28" s="46" t="s">
        <v>64</v>
      </c>
      <c r="C28" s="47">
        <f ca="1">SUMIF(E2:E11, "Октябрь", G2:G11)</f>
        <v>91200</v>
      </c>
    </row>
    <row r="29" spans="1:3" ht="18.75" x14ac:dyDescent="0.25">
      <c r="A29" s="2">
        <v>2</v>
      </c>
      <c r="B29" s="46" t="s">
        <v>72</v>
      </c>
      <c r="C29" s="47">
        <f ca="1">SUMIF(E2:E11, "Ноябрь", G2:G11)</f>
        <v>53200</v>
      </c>
    </row>
    <row r="30" spans="1:3" ht="18.75" x14ac:dyDescent="0.25">
      <c r="A30" s="2">
        <v>3</v>
      </c>
      <c r="B30" s="46" t="s">
        <v>76</v>
      </c>
      <c r="C30" s="47">
        <f ca="1">SUMIF(E2:E11, "Декабрь", G2:G11)</f>
        <v>76000</v>
      </c>
    </row>
  </sheetData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Закупки</vt:lpstr>
      <vt:lpstr>График</vt:lpstr>
      <vt:lpstr>Аттестация</vt:lpstr>
      <vt:lpstr>фун.даты</vt:lpstr>
      <vt:lpstr>фун.лог</vt:lpstr>
      <vt:lpstr>ведомость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Студент Колледжа</cp:lastModifiedBy>
  <dcterms:created xsi:type="dcterms:W3CDTF">2015-06-05T18:19:34Z</dcterms:created>
  <dcterms:modified xsi:type="dcterms:W3CDTF">2025-12-17T11:48:18Z</dcterms:modified>
</cp:coreProperties>
</file>