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2 курс ВятГу\Информатика\"/>
    </mc:Choice>
  </mc:AlternateContent>
  <xr:revisionPtr revIDLastSave="0" documentId="13_ncr:1_{49A5454A-F18F-4258-817E-3F843C94C32F}" xr6:coauthVersionLast="47" xr6:coauthVersionMax="47" xr10:uidLastSave="{00000000-0000-0000-0000-000000000000}"/>
  <bookViews>
    <workbookView xWindow="0" yWindow="0" windowWidth="14400" windowHeight="15600" firstSheet="1" activeTab="5" xr2:uid="{00000000-000D-0000-FFFF-FFFF00000000}"/>
  </bookViews>
  <sheets>
    <sheet name="метод1" sheetId="1" r:id="rId1"/>
    <sheet name="СР_1" sheetId="2" r:id="rId2"/>
    <sheet name="метод2" sheetId="3" r:id="rId3"/>
    <sheet name="СР_2" sheetId="4" r:id="rId4"/>
    <sheet name="метод3" sheetId="5" r:id="rId5"/>
    <sheet name="СР_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6" l="1" a="1"/>
  <c r="K8" i="6" s="1"/>
  <c r="J10" i="6"/>
  <c r="J9" i="6"/>
  <c r="J8" i="6"/>
  <c r="H10" i="6"/>
  <c r="H9" i="6"/>
  <c r="H8" i="6"/>
  <c r="H7" i="6"/>
  <c r="C15" i="6" a="1"/>
  <c r="C16" i="6" s="1"/>
  <c r="A15" i="6" a="1"/>
  <c r="B15" i="6" s="1"/>
  <c r="C11" i="6" a="1"/>
  <c r="C11" i="6" s="1"/>
  <c r="B11" i="6" a="1"/>
  <c r="B11" i="6" s="1"/>
  <c r="A11" i="6" a="1"/>
  <c r="A11" i="6" s="1"/>
  <c r="A7" i="6" a="1"/>
  <c r="A7" i="6" s="1"/>
  <c r="B7" i="6" a="1"/>
  <c r="B7" i="6" s="1"/>
  <c r="B7" i="5"/>
  <c r="A5" i="6"/>
  <c r="I22" i="5" a="1"/>
  <c r="I22" i="5" s="1"/>
  <c r="H25" i="5"/>
  <c r="H24" i="5"/>
  <c r="H23" i="5"/>
  <c r="H22" i="5"/>
  <c r="E25" i="5"/>
  <c r="E24" i="5"/>
  <c r="E23" i="5"/>
  <c r="E22" i="5"/>
  <c r="E21" i="5" a="1"/>
  <c r="E21" i="5" s="1"/>
  <c r="J16" i="5" a="1"/>
  <c r="J16" i="5" s="1"/>
  <c r="G16" i="5" a="1"/>
  <c r="G16" i="5" s="1"/>
  <c r="E16" i="5" a="1"/>
  <c r="E16" i="5" s="1"/>
  <c r="D16" i="5" a="1"/>
  <c r="D16" i="5" s="1"/>
  <c r="B16" i="5" a="1"/>
  <c r="B16" i="5" s="1"/>
  <c r="I10" i="5" a="1"/>
  <c r="I10" i="5" s="1"/>
  <c r="H10" i="5" a="1"/>
  <c r="H10" i="5" s="1"/>
  <c r="G10" i="5" a="1"/>
  <c r="G10" i="5" s="1"/>
  <c r="C10" i="5" a="1"/>
  <c r="C10" i="5" s="1"/>
  <c r="B10" i="5" a="1"/>
  <c r="B10" i="5" s="1"/>
  <c r="A7" i="4" a="1"/>
  <c r="A7" i="4" s="1"/>
  <c r="G9" i="3" a="1"/>
  <c r="G9" i="3" s="1"/>
  <c r="A9" i="3" a="1"/>
  <c r="A9" i="3" s="1"/>
  <c r="B2" i="2"/>
  <c r="B3" i="2"/>
  <c r="J2" i="2"/>
  <c r="J3" i="2"/>
  <c r="D3" i="2"/>
  <c r="E3" i="2"/>
  <c r="F3" i="2"/>
  <c r="G3" i="2"/>
  <c r="H3" i="2"/>
  <c r="I3" i="2"/>
  <c r="C3" i="2"/>
  <c r="D2" i="2"/>
  <c r="E2" i="2"/>
  <c r="F2" i="2"/>
  <c r="G2" i="2"/>
  <c r="H2" i="2"/>
  <c r="I2" i="2"/>
  <c r="C2" i="2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B3" i="1"/>
  <c r="B2" i="1"/>
  <c r="K10" i="6" l="1"/>
  <c r="K9" i="6"/>
  <c r="C17" i="6"/>
  <c r="C15" i="6"/>
  <c r="A15" i="6"/>
  <c r="B17" i="6"/>
  <c r="A17" i="6"/>
  <c r="B16" i="6"/>
  <c r="A16" i="6"/>
  <c r="C13" i="6"/>
  <c r="C12" i="6"/>
  <c r="B13" i="6"/>
  <c r="B12" i="6"/>
  <c r="A12" i="6"/>
  <c r="A13" i="6"/>
  <c r="A9" i="6"/>
  <c r="A8" i="6"/>
  <c r="B9" i="6"/>
  <c r="C8" i="6"/>
  <c r="C9" i="6"/>
  <c r="B8" i="6"/>
  <c r="C7" i="6"/>
  <c r="I25" i="5"/>
  <c r="I24" i="5"/>
  <c r="I23" i="5"/>
  <c r="J19" i="5"/>
  <c r="J18" i="5"/>
  <c r="J17" i="5"/>
  <c r="G18" i="5"/>
  <c r="I18" i="5"/>
  <c r="I17" i="5"/>
  <c r="H18" i="5"/>
  <c r="H17" i="5"/>
  <c r="H19" i="5"/>
  <c r="G17" i="5"/>
  <c r="I16" i="5"/>
  <c r="H16" i="5"/>
  <c r="I19" i="5"/>
  <c r="G19" i="5"/>
  <c r="E19" i="5"/>
  <c r="E18" i="5"/>
  <c r="E17" i="5"/>
  <c r="D18" i="5"/>
  <c r="D17" i="5"/>
  <c r="D19" i="5"/>
  <c r="C18" i="5"/>
  <c r="C19" i="5"/>
  <c r="B18" i="5"/>
  <c r="B17" i="5"/>
  <c r="B19" i="5"/>
  <c r="C16" i="5"/>
  <c r="C17" i="5"/>
  <c r="I13" i="5"/>
  <c r="J12" i="5"/>
  <c r="I12" i="5"/>
  <c r="J13" i="5"/>
  <c r="J11" i="5"/>
  <c r="I11" i="5"/>
  <c r="J10" i="5"/>
  <c r="H13" i="5"/>
  <c r="H12" i="5"/>
  <c r="H11" i="5"/>
  <c r="G13" i="5"/>
  <c r="G12" i="5"/>
  <c r="G11" i="5"/>
  <c r="D13" i="5"/>
  <c r="D11" i="5"/>
  <c r="E12" i="5"/>
  <c r="C11" i="5"/>
  <c r="E10" i="5"/>
  <c r="C13" i="5"/>
  <c r="D12" i="5"/>
  <c r="E11" i="5"/>
  <c r="D10" i="5"/>
  <c r="E13" i="5"/>
  <c r="C12" i="5"/>
  <c r="B12" i="5"/>
  <c r="B13" i="5"/>
  <c r="B11" i="5"/>
  <c r="E7" i="4" a="1"/>
  <c r="E7" i="4" s="1"/>
  <c r="B8" i="4"/>
  <c r="A8" i="4"/>
  <c r="A9" i="4"/>
  <c r="C7" i="4"/>
  <c r="C9" i="4"/>
  <c r="B7" i="4"/>
  <c r="B9" i="4"/>
  <c r="C8" i="4"/>
  <c r="C11" i="3"/>
  <c r="B11" i="3"/>
  <c r="A11" i="3"/>
  <c r="D10" i="3"/>
  <c r="C10" i="3"/>
  <c r="B10" i="3"/>
  <c r="A10" i="3"/>
  <c r="D12" i="3"/>
  <c r="D9" i="3"/>
  <c r="C12" i="3"/>
  <c r="C9" i="3"/>
  <c r="D11" i="3"/>
  <c r="B12" i="3"/>
  <c r="B9" i="3"/>
  <c r="A1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<sst xmlns="http://schemas.openxmlformats.org/spreadsheetml/2006/main" count="42" uniqueCount="24">
  <si>
    <t>x</t>
  </si>
  <si>
    <t>y1</t>
  </si>
  <si>
    <t>y2</t>
  </si>
  <si>
    <t>x=7</t>
  </si>
  <si>
    <t>y=1</t>
  </si>
  <si>
    <t>x=4</t>
  </si>
  <si>
    <t>y=2</t>
  </si>
  <si>
    <t>A</t>
  </si>
  <si>
    <t>B</t>
  </si>
  <si>
    <t>A1</t>
  </si>
  <si>
    <t>A2</t>
  </si>
  <si>
    <t>A3</t>
  </si>
  <si>
    <t>A4</t>
  </si>
  <si>
    <t>Определитель матрицы A</t>
  </si>
  <si>
    <t>Определитель матрицы A1</t>
  </si>
  <si>
    <t>Определитель матрицы A2</t>
  </si>
  <si>
    <t>Определитель матрицы A3</t>
  </si>
  <si>
    <t>Определитель матрицы A4</t>
  </si>
  <si>
    <t>Решение системы (x)</t>
  </si>
  <si>
    <t>x1=</t>
  </si>
  <si>
    <t>x2=</t>
  </si>
  <si>
    <t>x3=</t>
  </si>
  <si>
    <t>x4=</t>
  </si>
  <si>
    <t>Проверка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</si>
</sst>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F1115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Border="1" applyAlignment="1"/>
    <xf numFmtId="0" fontId="0" fillId="2" borderId="20" xfId="0" applyFill="1" applyBorder="1"/>
    <xf numFmtId="0" fontId="0" fillId="2" borderId="23" xfId="0" applyFill="1" applyBorder="1"/>
    <xf numFmtId="0" fontId="0" fillId="2" borderId="25" xfId="0" applyFill="1" applyBorder="1"/>
    <xf numFmtId="0" fontId="0" fillId="2" borderId="21" xfId="0" applyFill="1" applyBorder="1"/>
    <xf numFmtId="0" fontId="0" fillId="2" borderId="16" xfId="0" applyFill="1" applyBorder="1"/>
    <xf numFmtId="0" fontId="0" fillId="2" borderId="26" xfId="0" applyFill="1" applyBorder="1"/>
    <xf numFmtId="0" fontId="0" fillId="2" borderId="22" xfId="0" applyFill="1" applyBorder="1"/>
    <xf numFmtId="0" fontId="0" fillId="2" borderId="24" xfId="0" applyFill="1" applyBorder="1"/>
    <xf numFmtId="0" fontId="0" fillId="2" borderId="27" xfId="0" applyFill="1" applyBorder="1"/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0" fontId="0" fillId="0" borderId="14" xfId="0" applyBorder="1" applyAlignment="1">
      <alignment horizontal="center"/>
    </xf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метод1!$A$2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метод1!$B$1:$Q$1</c:f>
              <c:numCache>
                <c:formatCode>General</c:formatCode>
                <c:ptCount val="16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</c:numCache>
            </c:numRef>
          </c:xVal>
          <c:yVal>
            <c:numRef>
              <c:f>метод1!$B$2:$Q$2</c:f>
              <c:numCache>
                <c:formatCode>General</c:formatCode>
                <c:ptCount val="16"/>
                <c:pt idx="0">
                  <c:v>8</c:v>
                </c:pt>
                <c:pt idx="1">
                  <c:v>7.5</c:v>
                </c:pt>
                <c:pt idx="2">
                  <c:v>7</c:v>
                </c:pt>
                <c:pt idx="3">
                  <c:v>6.5</c:v>
                </c:pt>
                <c:pt idx="4">
                  <c:v>6</c:v>
                </c:pt>
                <c:pt idx="5">
                  <c:v>5.5</c:v>
                </c:pt>
                <c:pt idx="6">
                  <c:v>5</c:v>
                </c:pt>
                <c:pt idx="7">
                  <c:v>4.5</c:v>
                </c:pt>
                <c:pt idx="8">
                  <c:v>4</c:v>
                </c:pt>
                <c:pt idx="9">
                  <c:v>3.5</c:v>
                </c:pt>
                <c:pt idx="10">
                  <c:v>3</c:v>
                </c:pt>
                <c:pt idx="11">
                  <c:v>2.5</c:v>
                </c:pt>
                <c:pt idx="12">
                  <c:v>2</c:v>
                </c:pt>
                <c:pt idx="13">
                  <c:v>1.5</c:v>
                </c:pt>
                <c:pt idx="14">
                  <c:v>1</c:v>
                </c:pt>
                <c:pt idx="15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AC-424C-AFFD-6AF0F20682A4}"/>
            </c:ext>
          </c:extLst>
        </c:ser>
        <c:ser>
          <c:idx val="1"/>
          <c:order val="1"/>
          <c:tx>
            <c:v>y2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метод1!$B$1:$Q$1</c:f>
              <c:numCache>
                <c:formatCode>General</c:formatCode>
                <c:ptCount val="16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</c:numCache>
            </c:numRef>
          </c:xVal>
          <c:yVal>
            <c:numRef>
              <c:f>метод1!$B$3:$Q$3</c:f>
              <c:numCache>
                <c:formatCode>General</c:formatCode>
                <c:ptCount val="16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-1</c:v>
                </c:pt>
                <c:pt idx="15">
                  <c:v>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AC-424C-AFFD-6AF0F2068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233455"/>
        <c:axId val="1294254095"/>
      </c:scatterChart>
      <c:valAx>
        <c:axId val="129423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4254095"/>
        <c:crosses val="autoZero"/>
        <c:crossBetween val="midCat"/>
      </c:valAx>
      <c:valAx>
        <c:axId val="12942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423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СР_1!$A$2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СР_1!$B$1:$J$1</c:f>
              <c:numCache>
                <c:formatCode>General</c:formatCode>
                <c:ptCount val="9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</c:numCache>
            </c:numRef>
          </c:xVal>
          <c:yVal>
            <c:numRef>
              <c:f>СР_1!$B$2:$J$2</c:f>
              <c:numCache>
                <c:formatCode>General</c:formatCode>
                <c:ptCount val="9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  <c:pt idx="7">
                  <c:v>-2</c:v>
                </c:pt>
                <c:pt idx="8">
                  <c:v>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9E-417F-817A-D7BA0878C474}"/>
            </c:ext>
          </c:extLst>
        </c:ser>
        <c:ser>
          <c:idx val="1"/>
          <c:order val="1"/>
          <c:tx>
            <c:strRef>
              <c:f>СР_1!$A$3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СР_1!$B$1:$J$1</c:f>
              <c:numCache>
                <c:formatCode>General</c:formatCode>
                <c:ptCount val="9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</c:numCache>
            </c:numRef>
          </c:xVal>
          <c:yVal>
            <c:numRef>
              <c:f>СР_1!$B$3:$J$3</c:f>
              <c:numCache>
                <c:formatCode>General</c:formatCode>
                <c:ptCount val="9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9E-417F-817A-D7BA0878C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862175"/>
        <c:axId val="1588867455"/>
      </c:scatterChart>
      <c:valAx>
        <c:axId val="1588862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8867455"/>
        <c:crosses val="autoZero"/>
        <c:crossBetween val="midCat"/>
      </c:valAx>
      <c:valAx>
        <c:axId val="158886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8862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</xdr:row>
      <xdr:rowOff>14287</xdr:rowOff>
    </xdr:from>
    <xdr:to>
      <xdr:col>9</xdr:col>
      <xdr:colOff>314325</xdr:colOff>
      <xdr:row>18</xdr:row>
      <xdr:rowOff>90487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FB5FBC2-BC58-5130-C503-56C3C76A2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5</xdr:row>
      <xdr:rowOff>14287</xdr:rowOff>
    </xdr:from>
    <xdr:to>
      <xdr:col>11</xdr:col>
      <xdr:colOff>314325</xdr:colOff>
      <xdr:row>19</xdr:row>
      <xdr:rowOff>90487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49FB19B-A81E-9466-C8D5-C68845763E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workbookViewId="0">
      <selection activeCell="K5" sqref="K5"/>
    </sheetView>
  </sheetViews>
  <sheetFormatPr defaultRowHeight="15" x14ac:dyDescent="0.25"/>
  <sheetData>
    <row r="1" spans="1:17" x14ac:dyDescent="0.25">
      <c r="A1" t="s">
        <v>0</v>
      </c>
      <c r="B1">
        <v>-5</v>
      </c>
      <c r="C1">
        <v>-4</v>
      </c>
      <c r="D1">
        <v>-3</v>
      </c>
      <c r="E1">
        <v>-2</v>
      </c>
      <c r="F1">
        <v>-1</v>
      </c>
      <c r="G1">
        <v>0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</row>
    <row r="2" spans="1:17" x14ac:dyDescent="0.25">
      <c r="A2" t="s">
        <v>1</v>
      </c>
      <c r="B2">
        <f>(11-B1)/2</f>
        <v>8</v>
      </c>
      <c r="C2">
        <f t="shared" ref="C2:Q2" si="0">(11-C1)/2</f>
        <v>7.5</v>
      </c>
      <c r="D2">
        <f t="shared" si="0"/>
        <v>7</v>
      </c>
      <c r="E2">
        <f t="shared" si="0"/>
        <v>6.5</v>
      </c>
      <c r="F2">
        <f t="shared" si="0"/>
        <v>6</v>
      </c>
      <c r="G2">
        <f t="shared" si="0"/>
        <v>5.5</v>
      </c>
      <c r="H2">
        <f t="shared" si="0"/>
        <v>5</v>
      </c>
      <c r="I2">
        <f t="shared" si="0"/>
        <v>4.5</v>
      </c>
      <c r="J2">
        <f t="shared" si="0"/>
        <v>4</v>
      </c>
      <c r="K2">
        <f t="shared" si="0"/>
        <v>3.5</v>
      </c>
      <c r="L2">
        <f t="shared" si="0"/>
        <v>3</v>
      </c>
      <c r="M2">
        <f t="shared" si="0"/>
        <v>2.5</v>
      </c>
      <c r="N2">
        <f t="shared" si="0"/>
        <v>2</v>
      </c>
      <c r="O2">
        <f t="shared" si="0"/>
        <v>1.5</v>
      </c>
      <c r="P2">
        <f t="shared" si="0"/>
        <v>1</v>
      </c>
      <c r="Q2">
        <f t="shared" si="0"/>
        <v>0.5</v>
      </c>
    </row>
    <row r="3" spans="1:17" x14ac:dyDescent="0.25">
      <c r="A3" t="s">
        <v>2</v>
      </c>
      <c r="B3">
        <f>8-B1</f>
        <v>13</v>
      </c>
      <c r="C3">
        <f t="shared" ref="C3:Q3" si="1">8-C1</f>
        <v>12</v>
      </c>
      <c r="D3">
        <f t="shared" si="1"/>
        <v>11</v>
      </c>
      <c r="E3">
        <f t="shared" si="1"/>
        <v>10</v>
      </c>
      <c r="F3">
        <f t="shared" si="1"/>
        <v>9</v>
      </c>
      <c r="G3">
        <f t="shared" si="1"/>
        <v>8</v>
      </c>
      <c r="H3">
        <f t="shared" si="1"/>
        <v>7</v>
      </c>
      <c r="I3">
        <f t="shared" si="1"/>
        <v>6</v>
      </c>
      <c r="J3">
        <f t="shared" si="1"/>
        <v>5</v>
      </c>
      <c r="K3">
        <f t="shared" si="1"/>
        <v>4</v>
      </c>
      <c r="L3">
        <f t="shared" si="1"/>
        <v>3</v>
      </c>
      <c r="M3">
        <f t="shared" si="1"/>
        <v>2</v>
      </c>
      <c r="N3">
        <f t="shared" si="1"/>
        <v>1</v>
      </c>
      <c r="O3">
        <f t="shared" si="1"/>
        <v>0</v>
      </c>
      <c r="P3">
        <f t="shared" si="1"/>
        <v>-1</v>
      </c>
      <c r="Q3">
        <f t="shared" si="1"/>
        <v>-2</v>
      </c>
    </row>
    <row r="20" spans="3:4" x14ac:dyDescent="0.25">
      <c r="C20" t="s">
        <v>3</v>
      </c>
      <c r="D20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7DE09-B083-41E9-90E8-C58E6FC7C1C1}">
  <dimension ref="A1:J5"/>
  <sheetViews>
    <sheetView workbookViewId="0">
      <selection activeCell="E26" sqref="E26"/>
    </sheetView>
  </sheetViews>
  <sheetFormatPr defaultRowHeight="15" x14ac:dyDescent="0.25"/>
  <sheetData>
    <row r="1" spans="1:10" x14ac:dyDescent="0.25">
      <c r="A1" t="s">
        <v>0</v>
      </c>
      <c r="B1">
        <v>-1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</row>
    <row r="2" spans="1:10" x14ac:dyDescent="0.25">
      <c r="A2" t="s">
        <v>1</v>
      </c>
      <c r="B2">
        <f>10-B1*2</f>
        <v>12</v>
      </c>
      <c r="C2">
        <f>10-C1*2</f>
        <v>10</v>
      </c>
      <c r="D2">
        <f t="shared" ref="D2:I2" si="0">10-D1*2</f>
        <v>8</v>
      </c>
      <c r="E2">
        <f t="shared" si="0"/>
        <v>6</v>
      </c>
      <c r="F2">
        <f t="shared" si="0"/>
        <v>4</v>
      </c>
      <c r="G2">
        <f t="shared" si="0"/>
        <v>2</v>
      </c>
      <c r="H2">
        <f t="shared" si="0"/>
        <v>0</v>
      </c>
      <c r="I2">
        <f t="shared" si="0"/>
        <v>-2</v>
      </c>
      <c r="J2">
        <f>10-J1*2</f>
        <v>-4</v>
      </c>
    </row>
    <row r="3" spans="1:10" x14ac:dyDescent="0.25">
      <c r="A3" t="s">
        <v>2</v>
      </c>
      <c r="B3">
        <f>6-B1</f>
        <v>7</v>
      </c>
      <c r="C3">
        <f>6-C1</f>
        <v>6</v>
      </c>
      <c r="D3">
        <f t="shared" ref="D3:I3" si="1">6-D1</f>
        <v>5</v>
      </c>
      <c r="E3">
        <f t="shared" si="1"/>
        <v>4</v>
      </c>
      <c r="F3">
        <f t="shared" si="1"/>
        <v>3</v>
      </c>
      <c r="G3">
        <f t="shared" si="1"/>
        <v>2</v>
      </c>
      <c r="H3">
        <f t="shared" si="1"/>
        <v>1</v>
      </c>
      <c r="I3">
        <f t="shared" si="1"/>
        <v>0</v>
      </c>
      <c r="J3">
        <f>6-J1</f>
        <v>-1</v>
      </c>
    </row>
    <row r="5" spans="1:10" x14ac:dyDescent="0.25">
      <c r="B5" t="s">
        <v>5</v>
      </c>
      <c r="C5" t="s">
        <v>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250E-3D52-4870-A531-FE651CEE7C99}">
  <dimension ref="A1:G12"/>
  <sheetViews>
    <sheetView workbookViewId="0">
      <selection activeCell="F14" sqref="F14"/>
    </sheetView>
  </sheetViews>
  <sheetFormatPr defaultRowHeight="15" x14ac:dyDescent="0.25"/>
  <sheetData>
    <row r="1" spans="1:7" x14ac:dyDescent="0.25">
      <c r="A1" s="9">
        <v>14</v>
      </c>
      <c r="B1" s="10">
        <v>2</v>
      </c>
      <c r="C1" s="10">
        <v>0</v>
      </c>
      <c r="D1" s="11">
        <v>8</v>
      </c>
      <c r="G1" s="3">
        <v>218</v>
      </c>
    </row>
    <row r="2" spans="1:7" x14ac:dyDescent="0.25">
      <c r="A2" s="12">
        <v>7</v>
      </c>
      <c r="B2" s="13">
        <v>-3</v>
      </c>
      <c r="C2" s="13">
        <v>5</v>
      </c>
      <c r="D2" s="14">
        <v>12</v>
      </c>
      <c r="G2" s="4">
        <v>213</v>
      </c>
    </row>
    <row r="3" spans="1:7" x14ac:dyDescent="0.25">
      <c r="A3" s="12">
        <v>5</v>
      </c>
      <c r="B3" s="13">
        <v>1</v>
      </c>
      <c r="C3" s="13">
        <v>-2</v>
      </c>
      <c r="D3" s="14">
        <v>4</v>
      </c>
      <c r="G3" s="4">
        <v>83</v>
      </c>
    </row>
    <row r="4" spans="1:7" ht="15.75" thickBot="1" x14ac:dyDescent="0.3">
      <c r="A4" s="15">
        <v>6</v>
      </c>
      <c r="B4" s="16">
        <v>2</v>
      </c>
      <c r="C4" s="16">
        <v>1</v>
      </c>
      <c r="D4" s="17">
        <v>-3</v>
      </c>
      <c r="G4" s="5">
        <v>21</v>
      </c>
    </row>
    <row r="5" spans="1:7" ht="15.75" thickBot="1" x14ac:dyDescent="0.3"/>
    <row r="6" spans="1:7" ht="15.75" thickBot="1" x14ac:dyDescent="0.3">
      <c r="A6" s="6" t="s">
        <v>7</v>
      </c>
      <c r="B6" s="7"/>
      <c r="C6" s="7"/>
      <c r="D6" s="8"/>
      <c r="G6" s="18" t="s">
        <v>8</v>
      </c>
    </row>
    <row r="9" spans="1:7" x14ac:dyDescent="0.25">
      <c r="A9">
        <f t="array" ref="A9:D12">MINVERSE(A1:D4)</f>
        <v>-0.73648648648648618</v>
      </c>
      <c r="B9">
        <v>0.29729729729729726</v>
      </c>
      <c r="C9">
        <v>1.0675675675675673</v>
      </c>
      <c r="D9">
        <v>0.64864864864864846</v>
      </c>
      <c r="G9" cm="1">
        <f t="array" ref="G9:G12">MMULT(A9:D12, G1:G4)</f>
        <v>5.0000000000000462</v>
      </c>
    </row>
    <row r="10" spans="1:7" x14ac:dyDescent="0.25">
      <c r="A10">
        <v>2.7905405405405395</v>
      </c>
      <c r="B10">
        <v>-1.1081081081081079</v>
      </c>
      <c r="C10">
        <v>-3.7972972972972965</v>
      </c>
      <c r="D10">
        <v>-2.0540540540540535</v>
      </c>
      <c r="G10">
        <v>13.999999999999865</v>
      </c>
    </row>
    <row r="11" spans="1:7" x14ac:dyDescent="0.25">
      <c r="A11">
        <v>0.98648648648648618</v>
      </c>
      <c r="B11">
        <v>-0.2972972972972972</v>
      </c>
      <c r="C11">
        <v>-1.5675675675675673</v>
      </c>
      <c r="D11">
        <v>-0.64864864864864846</v>
      </c>
      <c r="G11">
        <v>7.999999999999968</v>
      </c>
    </row>
    <row r="12" spans="1:7" x14ac:dyDescent="0.25">
      <c r="A12">
        <v>0.71621621621621601</v>
      </c>
      <c r="B12">
        <v>-0.24324324324324317</v>
      </c>
      <c r="C12">
        <v>-0.91891891891891864</v>
      </c>
      <c r="D12">
        <v>-0.62162162162162149</v>
      </c>
      <c r="G12">
        <v>15.000000000000012</v>
      </c>
    </row>
  </sheetData>
  <mergeCells count="1">
    <mergeCell ref="A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61830-D50E-44B0-834E-0229C620A01D}">
  <dimension ref="A1:E9"/>
  <sheetViews>
    <sheetView workbookViewId="0">
      <selection activeCell="G6" sqref="G6"/>
    </sheetView>
  </sheetViews>
  <sheetFormatPr defaultRowHeight="15" x14ac:dyDescent="0.25"/>
  <sheetData>
    <row r="1" spans="1:5" x14ac:dyDescent="0.25">
      <c r="A1" s="9">
        <v>1</v>
      </c>
      <c r="B1" s="10">
        <v>2</v>
      </c>
      <c r="C1" s="11">
        <v>0</v>
      </c>
      <c r="E1" s="3">
        <v>1</v>
      </c>
    </row>
    <row r="2" spans="1:5" x14ac:dyDescent="0.25">
      <c r="A2" s="12">
        <v>2</v>
      </c>
      <c r="B2" s="13">
        <v>-1</v>
      </c>
      <c r="C2" s="14">
        <v>1</v>
      </c>
      <c r="E2" s="4">
        <v>3</v>
      </c>
    </row>
    <row r="3" spans="1:5" ht="15.75" thickBot="1" x14ac:dyDescent="0.3">
      <c r="A3" s="15">
        <v>1</v>
      </c>
      <c r="B3" s="16">
        <v>1</v>
      </c>
      <c r="C3" s="17">
        <v>2</v>
      </c>
      <c r="E3" s="5">
        <v>0</v>
      </c>
    </row>
    <row r="5" spans="1:5" x14ac:dyDescent="0.25">
      <c r="A5" s="2" t="s">
        <v>7</v>
      </c>
      <c r="B5" s="2"/>
      <c r="C5" s="2"/>
      <c r="E5" s="1" t="s">
        <v>8</v>
      </c>
    </row>
    <row r="6" spans="1:5" ht="15.75" thickBot="1" x14ac:dyDescent="0.3"/>
    <row r="7" spans="1:5" x14ac:dyDescent="0.25">
      <c r="A7" s="9">
        <f t="array" ref="A7:C9">MINVERSE(A1:C3)</f>
        <v>0.33333333333333337</v>
      </c>
      <c r="B7" s="10">
        <v>0.44444444444444448</v>
      </c>
      <c r="C7" s="11">
        <v>-0.22222222222222224</v>
      </c>
      <c r="E7" s="3" cm="1">
        <f t="array" ref="E7:E9">MMULT(A7:C9, E1:E3)</f>
        <v>1.666666666666667</v>
      </c>
    </row>
    <row r="8" spans="1:5" x14ac:dyDescent="0.25">
      <c r="A8" s="12">
        <v>0.33333333333333337</v>
      </c>
      <c r="B8" s="13">
        <v>-0.22222222222222224</v>
      </c>
      <c r="C8" s="14">
        <v>0.11111111111111112</v>
      </c>
      <c r="E8" s="4">
        <v>-0.33333333333333337</v>
      </c>
    </row>
    <row r="9" spans="1:5" ht="15.75" thickBot="1" x14ac:dyDescent="0.3">
      <c r="A9" s="15">
        <v>-0.33333333333333331</v>
      </c>
      <c r="B9" s="16">
        <v>-0.11111111111111112</v>
      </c>
      <c r="C9" s="17">
        <v>0.55555555555555558</v>
      </c>
      <c r="E9" s="5">
        <v>-0.66666666666666674</v>
      </c>
    </row>
  </sheetData>
  <mergeCells count="1">
    <mergeCell ref="A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D5AB-2109-49B9-9ADB-6969EC478EB1}">
  <dimension ref="B2:J25"/>
  <sheetViews>
    <sheetView workbookViewId="0">
      <selection activeCell="I25" sqref="I25"/>
    </sheetView>
  </sheetViews>
  <sheetFormatPr defaultRowHeight="15" x14ac:dyDescent="0.25"/>
  <cols>
    <col min="2" max="2" width="9.140625" customWidth="1"/>
    <col min="8" max="8" width="11.7109375" customWidth="1"/>
    <col min="9" max="9" width="10.28515625" customWidth="1"/>
  </cols>
  <sheetData>
    <row r="2" spans="2:10" ht="15.75" thickBot="1" x14ac:dyDescent="0.3">
      <c r="B2" s="2" t="s">
        <v>7</v>
      </c>
      <c r="C2" s="2"/>
      <c r="D2" s="2"/>
      <c r="E2" s="2"/>
      <c r="G2" s="1" t="s">
        <v>8</v>
      </c>
    </row>
    <row r="3" spans="2:10" x14ac:dyDescent="0.25">
      <c r="B3" s="25">
        <v>4</v>
      </c>
      <c r="C3" s="26">
        <v>-2</v>
      </c>
      <c r="D3" s="26">
        <v>3</v>
      </c>
      <c r="E3" s="27">
        <v>-2</v>
      </c>
      <c r="F3" s="13"/>
      <c r="G3" s="22">
        <v>1</v>
      </c>
      <c r="I3" s="50"/>
    </row>
    <row r="4" spans="2:10" x14ac:dyDescent="0.25">
      <c r="B4" s="28">
        <v>-2</v>
      </c>
      <c r="C4" s="21">
        <v>5</v>
      </c>
      <c r="D4" s="21">
        <v>-2</v>
      </c>
      <c r="E4" s="29">
        <v>1</v>
      </c>
      <c r="F4" s="13"/>
      <c r="G4" s="23">
        <v>6</v>
      </c>
      <c r="I4" s="50"/>
    </row>
    <row r="5" spans="2:10" x14ac:dyDescent="0.25">
      <c r="B5" s="28">
        <v>3</v>
      </c>
      <c r="C5" s="21">
        <v>-2</v>
      </c>
      <c r="D5" s="21">
        <v>3</v>
      </c>
      <c r="E5" s="29">
        <v>-4</v>
      </c>
      <c r="F5" s="13"/>
      <c r="G5" s="23">
        <v>-8</v>
      </c>
      <c r="I5" s="50"/>
    </row>
    <row r="6" spans="2:10" ht="15.75" thickBot="1" x14ac:dyDescent="0.3">
      <c r="B6" s="30">
        <v>-2</v>
      </c>
      <c r="C6" s="31">
        <v>1</v>
      </c>
      <c r="D6" s="31">
        <v>-4</v>
      </c>
      <c r="E6" s="32">
        <v>2</v>
      </c>
      <c r="F6" s="13"/>
      <c r="G6" s="24">
        <v>-4</v>
      </c>
      <c r="I6" s="50"/>
    </row>
    <row r="7" spans="2:10" x14ac:dyDescent="0.25">
      <c r="B7" s="33" t="str">
        <f>IF(MDETERM(B3:E6)&lt;&gt;0,"Система имеет единственное решение","Нет единственного решения")</f>
        <v>Система имеет единственное решение</v>
      </c>
      <c r="C7" s="33"/>
      <c r="D7" s="33"/>
      <c r="E7" s="33"/>
      <c r="F7" s="13"/>
      <c r="G7" s="19"/>
    </row>
    <row r="9" spans="2:10" ht="15.75" thickBot="1" x14ac:dyDescent="0.3">
      <c r="B9" s="2" t="s">
        <v>9</v>
      </c>
      <c r="C9" s="2"/>
      <c r="D9" s="2"/>
      <c r="E9" s="2"/>
      <c r="G9" s="2" t="s">
        <v>10</v>
      </c>
      <c r="H9" s="2"/>
      <c r="I9" s="2"/>
      <c r="J9" s="2"/>
    </row>
    <row r="10" spans="2:10" x14ac:dyDescent="0.25">
      <c r="B10" s="34">
        <f t="array" ref="B10:B13">G3:G6</f>
        <v>1</v>
      </c>
      <c r="C10" s="26">
        <f t="array" ref="C10:E13">C3:E6</f>
        <v>-2</v>
      </c>
      <c r="D10" s="26">
        <v>3</v>
      </c>
      <c r="E10" s="27">
        <v>-2</v>
      </c>
      <c r="G10" s="25">
        <f t="array" ref="G10:G13">B3:B6</f>
        <v>4</v>
      </c>
      <c r="H10" s="37">
        <f t="array" ref="H10:H13">G3:G6</f>
        <v>1</v>
      </c>
      <c r="I10" s="26">
        <f t="array" ref="I10:J13">D3:E6</f>
        <v>3</v>
      </c>
      <c r="J10" s="27">
        <v>-2</v>
      </c>
    </row>
    <row r="11" spans="2:10" x14ac:dyDescent="0.25">
      <c r="B11" s="35">
        <v>6</v>
      </c>
      <c r="C11" s="21">
        <v>5</v>
      </c>
      <c r="D11" s="21">
        <v>-2</v>
      </c>
      <c r="E11" s="29">
        <v>1</v>
      </c>
      <c r="G11" s="28">
        <v>-2</v>
      </c>
      <c r="H11" s="38">
        <v>6</v>
      </c>
      <c r="I11" s="21">
        <v>-2</v>
      </c>
      <c r="J11" s="29">
        <v>1</v>
      </c>
    </row>
    <row r="12" spans="2:10" x14ac:dyDescent="0.25">
      <c r="B12" s="35">
        <v>-8</v>
      </c>
      <c r="C12" s="21">
        <v>-2</v>
      </c>
      <c r="D12" s="21">
        <v>3</v>
      </c>
      <c r="E12" s="29">
        <v>-4</v>
      </c>
      <c r="G12" s="28">
        <v>3</v>
      </c>
      <c r="H12" s="38">
        <v>-8</v>
      </c>
      <c r="I12" s="21">
        <v>3</v>
      </c>
      <c r="J12" s="29">
        <v>-4</v>
      </c>
    </row>
    <row r="13" spans="2:10" ht="15.75" thickBot="1" x14ac:dyDescent="0.3">
      <c r="B13" s="36">
        <v>-4</v>
      </c>
      <c r="C13" s="31">
        <v>1</v>
      </c>
      <c r="D13" s="31">
        <v>-4</v>
      </c>
      <c r="E13" s="32">
        <v>2</v>
      </c>
      <c r="G13" s="30">
        <v>-2</v>
      </c>
      <c r="H13" s="39">
        <v>-4</v>
      </c>
      <c r="I13" s="31">
        <v>-4</v>
      </c>
      <c r="J13" s="32">
        <v>2</v>
      </c>
    </row>
    <row r="15" spans="2:10" ht="15.75" thickBot="1" x14ac:dyDescent="0.3">
      <c r="B15" s="2" t="s">
        <v>11</v>
      </c>
      <c r="C15" s="2"/>
      <c r="D15" s="2"/>
      <c r="E15" s="2"/>
      <c r="G15" s="2" t="s">
        <v>12</v>
      </c>
      <c r="H15" s="2"/>
      <c r="I15" s="2"/>
      <c r="J15" s="2"/>
    </row>
    <row r="16" spans="2:10" x14ac:dyDescent="0.25">
      <c r="B16" s="25">
        <f t="array" ref="B16:C19">B3:C6</f>
        <v>4</v>
      </c>
      <c r="C16" s="26">
        <v>-2</v>
      </c>
      <c r="D16" s="37">
        <f t="array" ref="D16:D19">G3:G6</f>
        <v>1</v>
      </c>
      <c r="E16" s="27">
        <f t="array" ref="E16:E19">E3:E6</f>
        <v>-2</v>
      </c>
      <c r="G16" s="25">
        <f t="array" ref="G16:I19">B3:D6</f>
        <v>4</v>
      </c>
      <c r="H16" s="26">
        <v>-2</v>
      </c>
      <c r="I16" s="26">
        <v>3</v>
      </c>
      <c r="J16" s="40">
        <f t="array" ref="J16:J19">G3:G6</f>
        <v>1</v>
      </c>
    </row>
    <row r="17" spans="2:10" x14ac:dyDescent="0.25">
      <c r="B17" s="28">
        <v>-2</v>
      </c>
      <c r="C17" s="21">
        <v>5</v>
      </c>
      <c r="D17" s="38">
        <v>6</v>
      </c>
      <c r="E17" s="29">
        <v>1</v>
      </c>
      <c r="G17" s="28">
        <v>-2</v>
      </c>
      <c r="H17" s="21">
        <v>5</v>
      </c>
      <c r="I17" s="21">
        <v>-2</v>
      </c>
      <c r="J17" s="41">
        <v>6</v>
      </c>
    </row>
    <row r="18" spans="2:10" x14ac:dyDescent="0.25">
      <c r="B18" s="28">
        <v>3</v>
      </c>
      <c r="C18" s="21">
        <v>-2</v>
      </c>
      <c r="D18" s="38">
        <v>-8</v>
      </c>
      <c r="E18" s="29">
        <v>-4</v>
      </c>
      <c r="G18" s="28">
        <v>3</v>
      </c>
      <c r="H18" s="21">
        <v>-2</v>
      </c>
      <c r="I18" s="21">
        <v>3</v>
      </c>
      <c r="J18" s="41">
        <v>-8</v>
      </c>
    </row>
    <row r="19" spans="2:10" ht="15.75" thickBot="1" x14ac:dyDescent="0.3">
      <c r="B19" s="30">
        <v>-2</v>
      </c>
      <c r="C19" s="31">
        <v>1</v>
      </c>
      <c r="D19" s="39">
        <v>-4</v>
      </c>
      <c r="E19" s="32">
        <v>2</v>
      </c>
      <c r="G19" s="30">
        <v>-2</v>
      </c>
      <c r="H19" s="31">
        <v>1</v>
      </c>
      <c r="I19" s="31">
        <v>-4</v>
      </c>
      <c r="J19" s="42">
        <v>-4</v>
      </c>
    </row>
    <row r="20" spans="2:10" ht="15.75" thickBot="1" x14ac:dyDescent="0.3"/>
    <row r="21" spans="2:10" ht="45.75" thickBot="1" x14ac:dyDescent="0.3">
      <c r="B21" s="44" t="s">
        <v>13</v>
      </c>
      <c r="C21" s="45"/>
      <c r="D21" s="45"/>
      <c r="E21" s="27">
        <f t="array" ref="E21">MDETERM(B3:E6)</f>
        <v>-89</v>
      </c>
      <c r="H21" s="49" t="s">
        <v>18</v>
      </c>
      <c r="I21" s="52" t="s">
        <v>23</v>
      </c>
    </row>
    <row r="22" spans="2:10" x14ac:dyDescent="0.25">
      <c r="B22" s="46" t="s">
        <v>14</v>
      </c>
      <c r="C22" s="43"/>
      <c r="D22" s="43"/>
      <c r="E22" s="29">
        <f>MDETERM(B10:E13)</f>
        <v>-89.000000000000128</v>
      </c>
      <c r="G22" s="51" t="s">
        <v>19</v>
      </c>
      <c r="H22" s="22">
        <f>E22/E21</f>
        <v>1.0000000000000013</v>
      </c>
      <c r="I22" s="22">
        <f t="array" ref="I22:I25">MMULT(B3:E6,H22:H25)</f>
        <v>1.0000000000000053</v>
      </c>
    </row>
    <row r="23" spans="2:10" x14ac:dyDescent="0.25">
      <c r="B23" s="46" t="s">
        <v>15</v>
      </c>
      <c r="C23" s="43"/>
      <c r="D23" s="43"/>
      <c r="E23" s="29">
        <f>MDETERM(G10:J13)</f>
        <v>-178</v>
      </c>
      <c r="G23" s="51" t="s">
        <v>20</v>
      </c>
      <c r="H23" s="53">
        <f>E23/E21</f>
        <v>2</v>
      </c>
      <c r="I23" s="23">
        <v>5.9999999999999973</v>
      </c>
    </row>
    <row r="24" spans="2:10" x14ac:dyDescent="0.25">
      <c r="B24" s="46" t="s">
        <v>16</v>
      </c>
      <c r="C24" s="43"/>
      <c r="D24" s="43"/>
      <c r="E24" s="29">
        <f>MDETERM(B16:E19)</f>
        <v>-267</v>
      </c>
      <c r="G24" s="51" t="s">
        <v>21</v>
      </c>
      <c r="H24" s="53">
        <f>E24/E21</f>
        <v>3</v>
      </c>
      <c r="I24" s="23">
        <v>-7.9999999999999964</v>
      </c>
    </row>
    <row r="25" spans="2:10" ht="15.75" thickBot="1" x14ac:dyDescent="0.3">
      <c r="B25" s="47" t="s">
        <v>17</v>
      </c>
      <c r="C25" s="48"/>
      <c r="D25" s="48"/>
      <c r="E25" s="32">
        <f>MDETERM(G16:J19)</f>
        <v>-356</v>
      </c>
      <c r="G25" s="51" t="s">
        <v>22</v>
      </c>
      <c r="H25" s="54">
        <f>E25/E21</f>
        <v>4</v>
      </c>
      <c r="I25" s="24">
        <v>-4.0000000000000036</v>
      </c>
    </row>
  </sheetData>
  <mergeCells count="10">
    <mergeCell ref="B21:D21"/>
    <mergeCell ref="B25:D25"/>
    <mergeCell ref="B24:D24"/>
    <mergeCell ref="B23:D23"/>
    <mergeCell ref="B22:D22"/>
    <mergeCell ref="B2:E2"/>
    <mergeCell ref="B9:E9"/>
    <mergeCell ref="G9:J9"/>
    <mergeCell ref="B15:E15"/>
    <mergeCell ref="G15:J15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F072-29EB-4D72-B02F-05233B2D41D3}">
  <dimension ref="A1:K17"/>
  <sheetViews>
    <sheetView tabSelected="1" workbookViewId="0">
      <selection activeCell="K10" sqref="K10"/>
    </sheetView>
  </sheetViews>
  <sheetFormatPr defaultRowHeight="15" x14ac:dyDescent="0.25"/>
  <cols>
    <col min="11" max="11" width="27.7109375" customWidth="1"/>
  </cols>
  <sheetData>
    <row r="1" spans="1:11" x14ac:dyDescent="0.25">
      <c r="A1" s="25">
        <v>1</v>
      </c>
      <c r="B1" s="26">
        <v>2</v>
      </c>
      <c r="C1" s="27">
        <v>1</v>
      </c>
      <c r="E1" s="22">
        <v>-1</v>
      </c>
    </row>
    <row r="2" spans="1:11" x14ac:dyDescent="0.25">
      <c r="A2" s="28">
        <v>2</v>
      </c>
      <c r="B2" s="21">
        <v>-1</v>
      </c>
      <c r="C2" s="29">
        <v>1</v>
      </c>
      <c r="E2" s="23">
        <v>3</v>
      </c>
    </row>
    <row r="3" spans="1:11" ht="15.75" thickBot="1" x14ac:dyDescent="0.3">
      <c r="A3" s="30">
        <v>1</v>
      </c>
      <c r="B3" s="31">
        <v>1</v>
      </c>
      <c r="C3" s="32">
        <v>2</v>
      </c>
      <c r="E3" s="24">
        <v>0</v>
      </c>
    </row>
    <row r="5" spans="1:11" x14ac:dyDescent="0.25">
      <c r="A5" s="2" t="str">
        <f>IF(MDETERM(A1:C3)&lt;&gt;0,"Единственное решение","Нет решений")</f>
        <v>Единственное решение</v>
      </c>
      <c r="B5" s="2"/>
      <c r="C5" s="2"/>
    </row>
    <row r="6" spans="1:11" ht="15.75" thickBot="1" x14ac:dyDescent="0.3">
      <c r="A6" s="55" t="s">
        <v>9</v>
      </c>
      <c r="B6" s="55"/>
      <c r="C6" s="55"/>
    </row>
    <row r="7" spans="1:11" x14ac:dyDescent="0.25">
      <c r="A7" s="34">
        <f t="array" ref="A7:A9">E1:E3</f>
        <v>-1</v>
      </c>
      <c r="B7" s="26">
        <f t="array" ref="B7:C9">B1:C3</f>
        <v>2</v>
      </c>
      <c r="C7" s="27">
        <v>1</v>
      </c>
      <c r="E7" s="2" t="s">
        <v>13</v>
      </c>
      <c r="F7" s="2"/>
      <c r="G7" s="2"/>
      <c r="H7">
        <f>MDETERM(A1:C3)</f>
        <v>-6</v>
      </c>
      <c r="K7" t="s">
        <v>23</v>
      </c>
    </row>
    <row r="8" spans="1:11" x14ac:dyDescent="0.25">
      <c r="A8" s="35">
        <v>3</v>
      </c>
      <c r="B8" s="21">
        <v>-1</v>
      </c>
      <c r="C8" s="29">
        <v>1</v>
      </c>
      <c r="E8" s="2" t="s">
        <v>14</v>
      </c>
      <c r="F8" s="2"/>
      <c r="G8" s="2"/>
      <c r="H8">
        <f>MDETERM(A7:C9)</f>
        <v>-6.0000000000000009</v>
      </c>
      <c r="I8" s="56" t="s">
        <v>19</v>
      </c>
      <c r="J8">
        <f>H8/H7</f>
        <v>1.0000000000000002</v>
      </c>
      <c r="K8" s="50">
        <f t="array" ref="K8:K10">MMULT(A1:C3, J8:J10)</f>
        <v>-0.99999999999999956</v>
      </c>
    </row>
    <row r="9" spans="1:11" ht="15.75" thickBot="1" x14ac:dyDescent="0.3">
      <c r="A9" s="36">
        <v>0</v>
      </c>
      <c r="B9" s="31">
        <v>1</v>
      </c>
      <c r="C9" s="32">
        <v>2</v>
      </c>
      <c r="E9" s="2" t="s">
        <v>15</v>
      </c>
      <c r="F9" s="2"/>
      <c r="G9" s="2"/>
      <c r="H9">
        <f>MDETERM(A11:C13)</f>
        <v>6</v>
      </c>
      <c r="I9" s="56" t="s">
        <v>20</v>
      </c>
      <c r="J9">
        <f>H9/H8</f>
        <v>-0.99999999999999989</v>
      </c>
      <c r="K9" s="50">
        <v>3.0000000000000004</v>
      </c>
    </row>
    <row r="10" spans="1:11" ht="15.75" thickBot="1" x14ac:dyDescent="0.3">
      <c r="A10" s="20" t="s">
        <v>10</v>
      </c>
      <c r="B10" s="20"/>
      <c r="C10" s="20"/>
      <c r="E10" s="2" t="s">
        <v>16</v>
      </c>
      <c r="F10" s="2"/>
      <c r="G10" s="2"/>
      <c r="H10">
        <f>MDETERM(A15:C17)</f>
        <v>0</v>
      </c>
      <c r="I10" s="56" t="s">
        <v>21</v>
      </c>
      <c r="J10">
        <f>H10/H9</f>
        <v>0</v>
      </c>
      <c r="K10" s="50">
        <v>3.3306690738754696E-16</v>
      </c>
    </row>
    <row r="11" spans="1:11" x14ac:dyDescent="0.25">
      <c r="A11" s="25">
        <f t="array" ref="A11:A13">A1:A3</f>
        <v>1</v>
      </c>
      <c r="B11" s="37">
        <f t="array" ref="B11:B13">E1:E3</f>
        <v>-1</v>
      </c>
      <c r="C11" s="27">
        <f t="array" ref="C11:C13">C1:C3</f>
        <v>1</v>
      </c>
    </row>
    <row r="12" spans="1:11" x14ac:dyDescent="0.25">
      <c r="A12" s="28">
        <v>2</v>
      </c>
      <c r="B12" s="38">
        <v>3</v>
      </c>
      <c r="C12" s="29">
        <v>1</v>
      </c>
    </row>
    <row r="13" spans="1:11" ht="15.75" thickBot="1" x14ac:dyDescent="0.3">
      <c r="A13" s="30">
        <v>1</v>
      </c>
      <c r="B13" s="39">
        <v>0</v>
      </c>
      <c r="C13" s="32">
        <v>2</v>
      </c>
    </row>
    <row r="14" spans="1:11" ht="15.75" thickBot="1" x14ac:dyDescent="0.3">
      <c r="A14" s="7" t="s">
        <v>11</v>
      </c>
      <c r="B14" s="7"/>
      <c r="C14" s="7"/>
    </row>
    <row r="15" spans="1:11" x14ac:dyDescent="0.25">
      <c r="A15" s="25">
        <f t="array" ref="A15:B17">A1:B3</f>
        <v>1</v>
      </c>
      <c r="B15" s="26">
        <v>2</v>
      </c>
      <c r="C15" s="40">
        <f t="array" ref="C15:C17">E1:E3</f>
        <v>-1</v>
      </c>
    </row>
    <row r="16" spans="1:11" x14ac:dyDescent="0.25">
      <c r="A16" s="28">
        <v>2</v>
      </c>
      <c r="B16" s="21">
        <v>-1</v>
      </c>
      <c r="C16" s="41">
        <v>3</v>
      </c>
    </row>
    <row r="17" spans="1:3" ht="15.75" thickBot="1" x14ac:dyDescent="0.3">
      <c r="A17" s="30">
        <v>1</v>
      </c>
      <c r="B17" s="31">
        <v>1</v>
      </c>
      <c r="C17" s="42">
        <v>0</v>
      </c>
    </row>
  </sheetData>
  <mergeCells count="8">
    <mergeCell ref="A5:C5"/>
    <mergeCell ref="A6:C6"/>
    <mergeCell ref="A10:C10"/>
    <mergeCell ref="A14:C14"/>
    <mergeCell ref="E10:G10"/>
    <mergeCell ref="E9:G9"/>
    <mergeCell ref="E8:G8"/>
    <mergeCell ref="E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метод1</vt:lpstr>
      <vt:lpstr>СР_1</vt:lpstr>
      <vt:lpstr>метод2</vt:lpstr>
      <vt:lpstr>СР_2</vt:lpstr>
      <vt:lpstr>метод3</vt:lpstr>
      <vt:lpstr>СР_3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Пестов Степан Иванович</cp:lastModifiedBy>
  <dcterms:created xsi:type="dcterms:W3CDTF">2015-06-05T18:19:34Z</dcterms:created>
  <dcterms:modified xsi:type="dcterms:W3CDTF">2025-12-16T12:47:59Z</dcterms:modified>
</cp:coreProperties>
</file>