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2 курс ВятГу\Информатика\ПР 5\"/>
    </mc:Choice>
  </mc:AlternateContent>
  <xr:revisionPtr revIDLastSave="0" documentId="13_ncr:1_{49E1568D-FDB3-4503-AFE2-BFE307335954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Январь" sheetId="1" r:id="rId1"/>
    <sheet name="Февраль" sheetId="2" r:id="rId2"/>
    <sheet name="Март" sheetId="3" r:id="rId3"/>
    <sheet name="Итог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" i="6" l="1" a="1"/>
  <c r="A22" i="6" s="1"/>
  <c r="A18" i="6" a="1"/>
  <c r="A18" i="6" s="1"/>
  <c r="A14" i="6" a="1"/>
  <c r="A14" i="6" s="1"/>
  <c r="A10" i="6" a="1"/>
  <c r="A10" i="6" s="1"/>
  <c r="A6" i="6" a="1"/>
  <c r="A6" i="6" s="1"/>
  <c r="F8" i="3" l="1"/>
  <c r="E8" i="3"/>
  <c r="C8" i="3"/>
  <c r="B8" i="3"/>
  <c r="F7" i="3"/>
  <c r="E7" i="3"/>
  <c r="C7" i="3"/>
  <c r="B7" i="3"/>
  <c r="F6" i="3"/>
  <c r="E6" i="3"/>
  <c r="C6" i="3"/>
  <c r="B6" i="3"/>
  <c r="F5" i="3"/>
  <c r="E5" i="3"/>
  <c r="C5" i="3"/>
  <c r="B5" i="3"/>
  <c r="F4" i="3"/>
  <c r="E4" i="3"/>
  <c r="C4" i="3"/>
  <c r="B4" i="3"/>
  <c r="F8" i="2"/>
  <c r="E8" i="2"/>
  <c r="C8" i="2"/>
  <c r="B8" i="2"/>
  <c r="F7" i="2"/>
  <c r="E7" i="2"/>
  <c r="C7" i="2"/>
  <c r="B7" i="2"/>
  <c r="F6" i="2"/>
  <c r="E6" i="2"/>
  <c r="C6" i="2"/>
  <c r="B6" i="2"/>
  <c r="F5" i="2"/>
  <c r="E5" i="2"/>
  <c r="C5" i="2"/>
  <c r="B5" i="2"/>
  <c r="F4" i="2"/>
  <c r="E4" i="2"/>
  <c r="C4" i="2"/>
  <c r="B4" i="2"/>
  <c r="F4" i="1"/>
  <c r="F5" i="1"/>
  <c r="F6" i="1"/>
  <c r="F7" i="1"/>
  <c r="F8" i="1"/>
  <c r="E5" i="1"/>
  <c r="E6" i="1"/>
  <c r="E7" i="1"/>
  <c r="E8" i="1"/>
  <c r="E4" i="1"/>
  <c r="C5" i="1"/>
  <c r="C6" i="1"/>
  <c r="C7" i="1"/>
  <c r="C8" i="1"/>
  <c r="C4" i="1"/>
  <c r="B4" i="1"/>
  <c r="B5" i="1"/>
  <c r="B6" i="1"/>
  <c r="B7" i="1"/>
  <c r="B8" i="1"/>
  <c r="G4" i="3" l="1"/>
  <c r="G7" i="3"/>
  <c r="H8" i="2"/>
  <c r="C20" i="6" s="1"/>
  <c r="H6" i="3"/>
  <c r="C11" i="6" s="1"/>
  <c r="G6" i="3"/>
  <c r="H6" i="2"/>
  <c r="C12" i="6" s="1"/>
  <c r="G4" i="2"/>
  <c r="H4" i="3"/>
  <c r="C3" i="6" s="1"/>
  <c r="H8" i="3"/>
  <c r="C19" i="6" s="1"/>
  <c r="H7" i="3"/>
  <c r="C15" i="6" s="1"/>
  <c r="H5" i="3"/>
  <c r="C7" i="6" s="1"/>
  <c r="G5" i="3"/>
  <c r="G8" i="3"/>
  <c r="G7" i="2"/>
  <c r="G5" i="2"/>
  <c r="G8" i="2"/>
  <c r="G6" i="2"/>
  <c r="H4" i="2"/>
  <c r="C4" i="6" s="1"/>
  <c r="H5" i="2"/>
  <c r="C8" i="6" s="1"/>
  <c r="H7" i="2"/>
  <c r="C16" i="6" s="1"/>
  <c r="H4" i="1"/>
  <c r="C5" i="6" s="1"/>
  <c r="H8" i="1"/>
  <c r="C21" i="6" s="1"/>
  <c r="H6" i="1"/>
  <c r="C13" i="6" s="1"/>
  <c r="H7" i="1"/>
  <c r="C17" i="6" s="1"/>
  <c r="H5" i="1"/>
  <c r="C9" i="6" s="1"/>
  <c r="C22" i="6" l="1"/>
  <c r="C14" i="6"/>
  <c r="D5" i="3"/>
  <c r="I5" i="3" s="1"/>
  <c r="B7" i="6"/>
  <c r="D4" i="2"/>
  <c r="I4" i="2" s="1"/>
  <c r="B4" i="6"/>
  <c r="C10" i="6"/>
  <c r="C6" i="6"/>
  <c r="D6" i="3"/>
  <c r="I6" i="3" s="1"/>
  <c r="B11" i="6"/>
  <c r="C18" i="6"/>
  <c r="D6" i="2"/>
  <c r="I6" i="2" s="1"/>
  <c r="B12" i="6"/>
  <c r="D8" i="2"/>
  <c r="I8" i="2" s="1"/>
  <c r="B20" i="6"/>
  <c r="D5" i="2"/>
  <c r="I5" i="2" s="1"/>
  <c r="B8" i="6"/>
  <c r="D7" i="2"/>
  <c r="I7" i="2" s="1"/>
  <c r="B16" i="6"/>
  <c r="D7" i="3"/>
  <c r="I7" i="3" s="1"/>
  <c r="B15" i="6"/>
  <c r="D8" i="3"/>
  <c r="I8" i="3" s="1"/>
  <c r="B19" i="6"/>
  <c r="D4" i="3"/>
  <c r="I4" i="3" s="1"/>
  <c r="B3" i="6"/>
  <c r="G5" i="1"/>
  <c r="B9" i="6" s="1"/>
  <c r="G6" i="1"/>
  <c r="B13" i="6" s="1"/>
  <c r="G7" i="1"/>
  <c r="B17" i="6" s="1"/>
  <c r="G8" i="1"/>
  <c r="B21" i="6" s="1"/>
  <c r="G4" i="1"/>
  <c r="B5" i="6" s="1"/>
  <c r="B22" i="6" l="1"/>
  <c r="B14" i="6"/>
  <c r="B18" i="6"/>
  <c r="B6" i="6"/>
  <c r="B10" i="6"/>
  <c r="D8" i="1"/>
  <c r="I8" i="1" s="1"/>
  <c r="D7" i="1"/>
  <c r="I7" i="1" s="1"/>
  <c r="D6" i="1"/>
  <c r="I6" i="1" s="1"/>
  <c r="D5" i="1"/>
  <c r="I5" i="1" s="1"/>
  <c r="D4" i="1"/>
  <c r="I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<sst xmlns="http://schemas.openxmlformats.org/spreadsheetml/2006/main" count="55" uniqueCount="19">
  <si>
    <t>Наименова-ние товара</t>
  </si>
  <si>
    <t>Цена за единицу (у.е.)</t>
  </si>
  <si>
    <t>Предложе-ние (шт.)</t>
  </si>
  <si>
    <t>Продажа</t>
  </si>
  <si>
    <t>Выручка от продаж, у.е.</t>
  </si>
  <si>
    <t>Остаток на складе</t>
  </si>
  <si>
    <t>Нал.</t>
  </si>
  <si>
    <t>Безнал.</t>
  </si>
  <si>
    <t>Всего</t>
  </si>
  <si>
    <t>Телевизор</t>
  </si>
  <si>
    <t>Кофеварка</t>
  </si>
  <si>
    <t>Музыкаль-ный центр</t>
  </si>
  <si>
    <t>Видеокамера</t>
  </si>
  <si>
    <t>Фотоаппарат</t>
  </si>
  <si>
    <t>Анализ продаж торговой фирмы "Вещи даром"</t>
  </si>
  <si>
    <t>Сводные показатели за 1 квартал</t>
  </si>
  <si>
    <t>Наименование товара</t>
  </si>
  <si>
    <t>Продано (шт.)</t>
  </si>
  <si>
    <t>Выручка за 1 квартал, у.е.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</si>
</sst>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>
      <selection activeCell="A4" sqref="A4:A8"/>
    </sheetView>
  </sheetViews>
  <sheetFormatPr defaultRowHeight="15" x14ac:dyDescent="0.25"/>
  <cols>
    <col min="1" max="1" width="30.42578125" bestFit="1" customWidth="1"/>
    <col min="2" max="2" width="7" bestFit="1" customWidth="1"/>
    <col min="3" max="3" width="25.42578125" customWidth="1"/>
    <col min="4" max="4" width="26" bestFit="1" customWidth="1"/>
    <col min="5" max="5" width="7" bestFit="1" customWidth="1"/>
    <col min="6" max="6" width="10.85546875" bestFit="1" customWidth="1"/>
    <col min="7" max="7" width="8.42578125" bestFit="1" customWidth="1"/>
    <col min="8" max="8" width="32" bestFit="1" customWidth="1"/>
    <col min="9" max="9" width="25.140625" bestFit="1" customWidth="1"/>
  </cols>
  <sheetData>
    <row r="1" spans="1:9" ht="19.5" thickBot="1" x14ac:dyDescent="0.3">
      <c r="A1" s="7" t="s">
        <v>14</v>
      </c>
      <c r="B1" s="7"/>
      <c r="C1" s="7"/>
      <c r="D1" s="7"/>
      <c r="E1" s="7"/>
      <c r="F1" s="7"/>
      <c r="G1" s="7"/>
      <c r="H1" s="7"/>
      <c r="I1" s="7"/>
    </row>
    <row r="2" spans="1:9" ht="19.5" thickBot="1" x14ac:dyDescent="0.3">
      <c r="A2" s="8" t="s">
        <v>0</v>
      </c>
      <c r="B2" s="7" t="s">
        <v>1</v>
      </c>
      <c r="C2" s="7"/>
      <c r="D2" s="8" t="s">
        <v>2</v>
      </c>
      <c r="E2" s="7" t="s">
        <v>3</v>
      </c>
      <c r="F2" s="7"/>
      <c r="G2" s="7"/>
      <c r="H2" s="8" t="s">
        <v>4</v>
      </c>
      <c r="I2" s="8" t="s">
        <v>5</v>
      </c>
    </row>
    <row r="3" spans="1:9" ht="19.5" thickBot="1" x14ac:dyDescent="0.3">
      <c r="A3" s="8"/>
      <c r="B3" s="1" t="s">
        <v>6</v>
      </c>
      <c r="C3" s="1" t="s">
        <v>7</v>
      </c>
      <c r="D3" s="8"/>
      <c r="E3" s="1" t="s">
        <v>6</v>
      </c>
      <c r="F3" s="1" t="s">
        <v>7</v>
      </c>
      <c r="G3" s="1" t="s">
        <v>8</v>
      </c>
      <c r="H3" s="8"/>
      <c r="I3" s="8"/>
    </row>
    <row r="4" spans="1:9" ht="19.5" thickBot="1" x14ac:dyDescent="0.35">
      <c r="A4" s="2" t="s">
        <v>9</v>
      </c>
      <c r="B4" s="2">
        <f ca="1">RANDBETWEEN(10,500)</f>
        <v>212</v>
      </c>
      <c r="C4" s="2">
        <f ca="1">RANDBETWEEN(10,500)</f>
        <v>355</v>
      </c>
      <c r="D4" s="2">
        <f ca="1">RANDBETWEEN(G4,G4+RANDBETWEEN(0,100))</f>
        <v>70</v>
      </c>
      <c r="E4" s="2">
        <f ca="1">RANDBETWEEN(1,60)</f>
        <v>12</v>
      </c>
      <c r="F4" s="2">
        <f ca="1">RANDBETWEEN(1,60)</f>
        <v>10</v>
      </c>
      <c r="G4" s="2">
        <f ca="1">E4+F4</f>
        <v>22</v>
      </c>
      <c r="H4" s="2">
        <f ca="1">B4*E4+C4*F4</f>
        <v>6094</v>
      </c>
      <c r="I4" s="3">
        <f ca="1">D4-G4</f>
        <v>48</v>
      </c>
    </row>
    <row r="5" spans="1:9" ht="19.5" thickBot="1" x14ac:dyDescent="0.35">
      <c r="A5" s="2" t="s">
        <v>10</v>
      </c>
      <c r="B5" s="2">
        <f t="shared" ref="B5:C8" ca="1" si="0">RANDBETWEEN(10,500)</f>
        <v>376</v>
      </c>
      <c r="C5" s="2">
        <f t="shared" ca="1" si="0"/>
        <v>114</v>
      </c>
      <c r="D5" s="2">
        <f t="shared" ref="D5:D8" ca="1" si="1">RANDBETWEEN(G5,G5+RANDBETWEEN(0,100))</f>
        <v>45</v>
      </c>
      <c r="E5" s="2">
        <f t="shared" ref="E5:F8" ca="1" si="2">RANDBETWEEN(1,60)</f>
        <v>8</v>
      </c>
      <c r="F5" s="2">
        <f t="shared" ca="1" si="2"/>
        <v>27</v>
      </c>
      <c r="G5" s="2">
        <f t="shared" ref="G5:G8" ca="1" si="3">E5+F5</f>
        <v>35</v>
      </c>
      <c r="H5" s="2">
        <f t="shared" ref="H5:H8" ca="1" si="4">B5*E5+C5*F5</f>
        <v>6086</v>
      </c>
      <c r="I5" s="3">
        <f t="shared" ref="I5:I8" ca="1" si="5">D5-G5</f>
        <v>10</v>
      </c>
    </row>
    <row r="6" spans="1:9" ht="19.5" thickBot="1" x14ac:dyDescent="0.35">
      <c r="A6" s="4" t="s">
        <v>11</v>
      </c>
      <c r="B6" s="2">
        <f t="shared" ca="1" si="0"/>
        <v>295</v>
      </c>
      <c r="C6" s="2">
        <f t="shared" ca="1" si="0"/>
        <v>327</v>
      </c>
      <c r="D6" s="2">
        <f t="shared" ca="1" si="1"/>
        <v>156</v>
      </c>
      <c r="E6" s="2">
        <f t="shared" ca="1" si="2"/>
        <v>53</v>
      </c>
      <c r="F6" s="2">
        <f t="shared" ca="1" si="2"/>
        <v>56</v>
      </c>
      <c r="G6" s="2">
        <f t="shared" ca="1" si="3"/>
        <v>109</v>
      </c>
      <c r="H6" s="2">
        <f t="shared" ca="1" si="4"/>
        <v>33947</v>
      </c>
      <c r="I6" s="3">
        <f t="shared" ca="1" si="5"/>
        <v>47</v>
      </c>
    </row>
    <row r="7" spans="1:9" ht="19.5" thickBot="1" x14ac:dyDescent="0.35">
      <c r="A7" s="2" t="s">
        <v>12</v>
      </c>
      <c r="B7" s="2">
        <f t="shared" ca="1" si="0"/>
        <v>47</v>
      </c>
      <c r="C7" s="2">
        <f t="shared" ca="1" si="0"/>
        <v>396</v>
      </c>
      <c r="D7" s="2">
        <f t="shared" ca="1" si="1"/>
        <v>147</v>
      </c>
      <c r="E7" s="2">
        <f t="shared" ca="1" si="2"/>
        <v>44</v>
      </c>
      <c r="F7" s="2">
        <f t="shared" ca="1" si="2"/>
        <v>15</v>
      </c>
      <c r="G7" s="2">
        <f t="shared" ca="1" si="3"/>
        <v>59</v>
      </c>
      <c r="H7" s="2">
        <f t="shared" ca="1" si="4"/>
        <v>8008</v>
      </c>
      <c r="I7" s="3">
        <f t="shared" ca="1" si="5"/>
        <v>88</v>
      </c>
    </row>
    <row r="8" spans="1:9" ht="19.5" thickBot="1" x14ac:dyDescent="0.35">
      <c r="A8" s="2" t="s">
        <v>13</v>
      </c>
      <c r="B8" s="2">
        <f t="shared" ca="1" si="0"/>
        <v>320</v>
      </c>
      <c r="C8" s="2">
        <f t="shared" ca="1" si="0"/>
        <v>223</v>
      </c>
      <c r="D8" s="2">
        <f t="shared" ca="1" si="1"/>
        <v>159</v>
      </c>
      <c r="E8" s="2">
        <f t="shared" ca="1" si="2"/>
        <v>37</v>
      </c>
      <c r="F8" s="2">
        <f t="shared" ca="1" si="2"/>
        <v>52</v>
      </c>
      <c r="G8" s="2">
        <f t="shared" ca="1" si="3"/>
        <v>89</v>
      </c>
      <c r="H8" s="2">
        <f t="shared" ca="1" si="4"/>
        <v>23436</v>
      </c>
      <c r="I8" s="3">
        <f t="shared" ca="1" si="5"/>
        <v>70</v>
      </c>
    </row>
  </sheetData>
  <mergeCells count="7">
    <mergeCell ref="A1:I1"/>
    <mergeCell ref="A2:A3"/>
    <mergeCell ref="D2:D3"/>
    <mergeCell ref="E2:G2"/>
    <mergeCell ref="H2:H3"/>
    <mergeCell ref="I2:I3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28F04-9C5B-49AD-B560-075C90446EDD}">
  <dimension ref="A1:I8"/>
  <sheetViews>
    <sheetView workbookViewId="0">
      <selection activeCell="H7" sqref="H7"/>
    </sheetView>
  </sheetViews>
  <sheetFormatPr defaultRowHeight="15" x14ac:dyDescent="0.25"/>
  <cols>
    <col min="1" max="1" width="30.42578125" bestFit="1" customWidth="1"/>
    <col min="2" max="2" width="7" bestFit="1" customWidth="1"/>
    <col min="3" max="3" width="25.42578125" customWidth="1"/>
    <col min="4" max="4" width="26" bestFit="1" customWidth="1"/>
    <col min="5" max="5" width="7" bestFit="1" customWidth="1"/>
    <col min="6" max="6" width="10.85546875" bestFit="1" customWidth="1"/>
    <col min="7" max="7" width="8.42578125" bestFit="1" customWidth="1"/>
    <col min="8" max="8" width="32" bestFit="1" customWidth="1"/>
    <col min="9" max="9" width="25.140625" bestFit="1" customWidth="1"/>
  </cols>
  <sheetData>
    <row r="1" spans="1:9" ht="19.5" thickBot="1" x14ac:dyDescent="0.3">
      <c r="A1" s="7" t="s">
        <v>14</v>
      </c>
      <c r="B1" s="7"/>
      <c r="C1" s="7"/>
      <c r="D1" s="7"/>
      <c r="E1" s="7"/>
      <c r="F1" s="7"/>
      <c r="G1" s="7"/>
      <c r="H1" s="7"/>
      <c r="I1" s="7"/>
    </row>
    <row r="2" spans="1:9" ht="19.5" thickBot="1" x14ac:dyDescent="0.3">
      <c r="A2" s="8" t="s">
        <v>0</v>
      </c>
      <c r="B2" s="7" t="s">
        <v>1</v>
      </c>
      <c r="C2" s="7"/>
      <c r="D2" s="8" t="s">
        <v>2</v>
      </c>
      <c r="E2" s="7" t="s">
        <v>3</v>
      </c>
      <c r="F2" s="7"/>
      <c r="G2" s="7"/>
      <c r="H2" s="8" t="s">
        <v>4</v>
      </c>
      <c r="I2" s="8" t="s">
        <v>5</v>
      </c>
    </row>
    <row r="3" spans="1:9" ht="19.5" thickBot="1" x14ac:dyDescent="0.3">
      <c r="A3" s="8"/>
      <c r="B3" s="1" t="s">
        <v>6</v>
      </c>
      <c r="C3" s="1" t="s">
        <v>7</v>
      </c>
      <c r="D3" s="8"/>
      <c r="E3" s="1" t="s">
        <v>6</v>
      </c>
      <c r="F3" s="1" t="s">
        <v>7</v>
      </c>
      <c r="G3" s="1" t="s">
        <v>8</v>
      </c>
      <c r="H3" s="8"/>
      <c r="I3" s="8"/>
    </row>
    <row r="4" spans="1:9" ht="19.5" thickBot="1" x14ac:dyDescent="0.35">
      <c r="A4" s="2" t="s">
        <v>9</v>
      </c>
      <c r="B4" s="2">
        <f ca="1">RANDBETWEEN(10,500)</f>
        <v>259</v>
      </c>
      <c r="C4" s="2">
        <f ca="1">RANDBETWEEN(10,500)</f>
        <v>401</v>
      </c>
      <c r="D4" s="2">
        <f ca="1">RANDBETWEEN(G4,G4+RANDBETWEEN(0,100))</f>
        <v>90</v>
      </c>
      <c r="E4" s="2">
        <f ca="1">RANDBETWEEN(1,60)</f>
        <v>33</v>
      </c>
      <c r="F4" s="2">
        <f ca="1">RANDBETWEEN(1,60)</f>
        <v>32</v>
      </c>
      <c r="G4" s="2">
        <f ca="1">E4+F4</f>
        <v>65</v>
      </c>
      <c r="H4" s="2">
        <f ca="1">B4*E4+C4*F4</f>
        <v>21379</v>
      </c>
      <c r="I4" s="3">
        <f ca="1">D4-G4</f>
        <v>25</v>
      </c>
    </row>
    <row r="5" spans="1:9" ht="19.5" thickBot="1" x14ac:dyDescent="0.35">
      <c r="A5" s="2" t="s">
        <v>10</v>
      </c>
      <c r="B5" s="2">
        <f t="shared" ref="B5:C8" ca="1" si="0">RANDBETWEEN(10,500)</f>
        <v>126</v>
      </c>
      <c r="C5" s="2">
        <f t="shared" ca="1" si="0"/>
        <v>231</v>
      </c>
      <c r="D5" s="2">
        <f t="shared" ref="D5:D8" ca="1" si="1">RANDBETWEEN(G5,G5+RANDBETWEEN(0,100))</f>
        <v>103</v>
      </c>
      <c r="E5" s="2">
        <f t="shared" ref="E5:F8" ca="1" si="2">RANDBETWEEN(1,60)</f>
        <v>36</v>
      </c>
      <c r="F5" s="2">
        <f t="shared" ca="1" si="2"/>
        <v>21</v>
      </c>
      <c r="G5" s="2">
        <f t="shared" ref="G5:G8" ca="1" si="3">E5+F5</f>
        <v>57</v>
      </c>
      <c r="H5" s="2">
        <f t="shared" ref="H5:H8" ca="1" si="4">B5*E5+C5*F5</f>
        <v>9387</v>
      </c>
      <c r="I5" s="3">
        <f t="shared" ref="I5:I8" ca="1" si="5">D5-G5</f>
        <v>46</v>
      </c>
    </row>
    <row r="6" spans="1:9" ht="19.5" thickBot="1" x14ac:dyDescent="0.35">
      <c r="A6" s="4" t="s">
        <v>11</v>
      </c>
      <c r="B6" s="2">
        <f t="shared" ca="1" si="0"/>
        <v>120</v>
      </c>
      <c r="C6" s="2">
        <f t="shared" ca="1" si="0"/>
        <v>146</v>
      </c>
      <c r="D6" s="2">
        <f t="shared" ca="1" si="1"/>
        <v>105</v>
      </c>
      <c r="E6" s="2">
        <f t="shared" ca="1" si="2"/>
        <v>15</v>
      </c>
      <c r="F6" s="2">
        <f t="shared" ca="1" si="2"/>
        <v>47</v>
      </c>
      <c r="G6" s="2">
        <f t="shared" ca="1" si="3"/>
        <v>62</v>
      </c>
      <c r="H6" s="2">
        <f t="shared" ca="1" si="4"/>
        <v>8662</v>
      </c>
      <c r="I6" s="3">
        <f t="shared" ca="1" si="5"/>
        <v>43</v>
      </c>
    </row>
    <row r="7" spans="1:9" ht="19.5" thickBot="1" x14ac:dyDescent="0.35">
      <c r="A7" s="2" t="s">
        <v>12</v>
      </c>
      <c r="B7" s="2">
        <f t="shared" ca="1" si="0"/>
        <v>263</v>
      </c>
      <c r="C7" s="2">
        <f t="shared" ca="1" si="0"/>
        <v>220</v>
      </c>
      <c r="D7" s="2">
        <f t="shared" ca="1" si="1"/>
        <v>61</v>
      </c>
      <c r="E7" s="2">
        <f t="shared" ca="1" si="2"/>
        <v>16</v>
      </c>
      <c r="F7" s="2">
        <f t="shared" ca="1" si="2"/>
        <v>25</v>
      </c>
      <c r="G7" s="2">
        <f t="shared" ca="1" si="3"/>
        <v>41</v>
      </c>
      <c r="H7" s="2">
        <f t="shared" ca="1" si="4"/>
        <v>9708</v>
      </c>
      <c r="I7" s="3">
        <f t="shared" ca="1" si="5"/>
        <v>20</v>
      </c>
    </row>
    <row r="8" spans="1:9" ht="19.5" thickBot="1" x14ac:dyDescent="0.35">
      <c r="A8" s="2" t="s">
        <v>13</v>
      </c>
      <c r="B8" s="2">
        <f t="shared" ca="1" si="0"/>
        <v>326</v>
      </c>
      <c r="C8" s="2">
        <f t="shared" ca="1" si="0"/>
        <v>437</v>
      </c>
      <c r="D8" s="2">
        <f t="shared" ca="1" si="1"/>
        <v>55</v>
      </c>
      <c r="E8" s="2">
        <f t="shared" ca="1" si="2"/>
        <v>7</v>
      </c>
      <c r="F8" s="2">
        <f t="shared" ca="1" si="2"/>
        <v>42</v>
      </c>
      <c r="G8" s="2">
        <f t="shared" ca="1" si="3"/>
        <v>49</v>
      </c>
      <c r="H8" s="2">
        <f t="shared" ca="1" si="4"/>
        <v>20636</v>
      </c>
      <c r="I8" s="3">
        <f t="shared" ca="1" si="5"/>
        <v>6</v>
      </c>
    </row>
  </sheetData>
  <mergeCells count="7">
    <mergeCell ref="A1:I1"/>
    <mergeCell ref="A2:A3"/>
    <mergeCell ref="B2:C2"/>
    <mergeCell ref="D2:D3"/>
    <mergeCell ref="E2:G2"/>
    <mergeCell ref="H2:H3"/>
    <mergeCell ref="I2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9B99B-8D99-455B-BC00-3E2C9D84A2AD}">
  <dimension ref="A1:I8"/>
  <sheetViews>
    <sheetView workbookViewId="0">
      <selection activeCell="D12" sqref="D12"/>
    </sheetView>
  </sheetViews>
  <sheetFormatPr defaultRowHeight="15" x14ac:dyDescent="0.25"/>
  <cols>
    <col min="1" max="1" width="30.42578125" bestFit="1" customWidth="1"/>
    <col min="2" max="2" width="7" bestFit="1" customWidth="1"/>
    <col min="3" max="3" width="25.42578125" customWidth="1"/>
    <col min="4" max="4" width="26" bestFit="1" customWidth="1"/>
    <col min="5" max="5" width="7" bestFit="1" customWidth="1"/>
    <col min="6" max="6" width="10.85546875" bestFit="1" customWidth="1"/>
    <col min="7" max="7" width="8.42578125" bestFit="1" customWidth="1"/>
    <col min="8" max="8" width="32" bestFit="1" customWidth="1"/>
    <col min="9" max="9" width="25.140625" bestFit="1" customWidth="1"/>
  </cols>
  <sheetData>
    <row r="1" spans="1:9" ht="19.5" thickBot="1" x14ac:dyDescent="0.3">
      <c r="A1" s="7" t="s">
        <v>14</v>
      </c>
      <c r="B1" s="7"/>
      <c r="C1" s="7"/>
      <c r="D1" s="7"/>
      <c r="E1" s="7"/>
      <c r="F1" s="7"/>
      <c r="G1" s="7"/>
      <c r="H1" s="7"/>
      <c r="I1" s="7"/>
    </row>
    <row r="2" spans="1:9" ht="19.5" thickBot="1" x14ac:dyDescent="0.3">
      <c r="A2" s="8" t="s">
        <v>0</v>
      </c>
      <c r="B2" s="7" t="s">
        <v>1</v>
      </c>
      <c r="C2" s="7"/>
      <c r="D2" s="8" t="s">
        <v>2</v>
      </c>
      <c r="E2" s="7" t="s">
        <v>3</v>
      </c>
      <c r="F2" s="7"/>
      <c r="G2" s="7"/>
      <c r="H2" s="8" t="s">
        <v>4</v>
      </c>
      <c r="I2" s="8" t="s">
        <v>5</v>
      </c>
    </row>
    <row r="3" spans="1:9" ht="19.5" thickBot="1" x14ac:dyDescent="0.3">
      <c r="A3" s="8"/>
      <c r="B3" s="1" t="s">
        <v>6</v>
      </c>
      <c r="C3" s="1" t="s">
        <v>7</v>
      </c>
      <c r="D3" s="8"/>
      <c r="E3" s="1" t="s">
        <v>6</v>
      </c>
      <c r="F3" s="1" t="s">
        <v>7</v>
      </c>
      <c r="G3" s="1" t="s">
        <v>8</v>
      </c>
      <c r="H3" s="8"/>
      <c r="I3" s="8"/>
    </row>
    <row r="4" spans="1:9" ht="19.5" thickBot="1" x14ac:dyDescent="0.35">
      <c r="A4" s="2" t="s">
        <v>9</v>
      </c>
      <c r="B4" s="2">
        <f ca="1">RANDBETWEEN(10,500)</f>
        <v>115</v>
      </c>
      <c r="C4" s="2">
        <f ca="1">RANDBETWEEN(10,500)</f>
        <v>222</v>
      </c>
      <c r="D4" s="2">
        <f ca="1">RANDBETWEEN(G4,G4+RANDBETWEEN(0,100))</f>
        <v>46</v>
      </c>
      <c r="E4" s="2">
        <f ca="1">RANDBETWEEN(1,60)</f>
        <v>4</v>
      </c>
      <c r="F4" s="2">
        <f ca="1">RANDBETWEEN(1,60)</f>
        <v>23</v>
      </c>
      <c r="G4" s="2">
        <f ca="1">E4+F4</f>
        <v>27</v>
      </c>
      <c r="H4" s="2">
        <f ca="1">B4*E4+C4*F4</f>
        <v>5566</v>
      </c>
      <c r="I4" s="3">
        <f ca="1">D4-G4</f>
        <v>19</v>
      </c>
    </row>
    <row r="5" spans="1:9" ht="19.5" thickBot="1" x14ac:dyDescent="0.35">
      <c r="A5" s="2" t="s">
        <v>10</v>
      </c>
      <c r="B5" s="2">
        <f t="shared" ref="B5:C8" ca="1" si="0">RANDBETWEEN(10,500)</f>
        <v>216</v>
      </c>
      <c r="C5" s="2">
        <f t="shared" ca="1" si="0"/>
        <v>467</v>
      </c>
      <c r="D5" s="2">
        <f t="shared" ref="D5:D8" ca="1" si="1">RANDBETWEEN(G5,G5+RANDBETWEEN(0,100))</f>
        <v>73</v>
      </c>
      <c r="E5" s="2">
        <f t="shared" ref="E5:F8" ca="1" si="2">RANDBETWEEN(1,60)</f>
        <v>1</v>
      </c>
      <c r="F5" s="2">
        <f t="shared" ca="1" si="2"/>
        <v>44</v>
      </c>
      <c r="G5" s="2">
        <f t="shared" ref="G5:G8" ca="1" si="3">E5+F5</f>
        <v>45</v>
      </c>
      <c r="H5" s="2">
        <f t="shared" ref="H5:H8" ca="1" si="4">B5*E5+C5*F5</f>
        <v>20764</v>
      </c>
      <c r="I5" s="3">
        <f t="shared" ref="I5:I8" ca="1" si="5">D5-G5</f>
        <v>28</v>
      </c>
    </row>
    <row r="6" spans="1:9" ht="19.5" thickBot="1" x14ac:dyDescent="0.35">
      <c r="A6" s="4" t="s">
        <v>11</v>
      </c>
      <c r="B6" s="2">
        <f t="shared" ca="1" si="0"/>
        <v>225</v>
      </c>
      <c r="C6" s="2">
        <f t="shared" ca="1" si="0"/>
        <v>418</v>
      </c>
      <c r="D6" s="2">
        <f t="shared" ca="1" si="1"/>
        <v>119</v>
      </c>
      <c r="E6" s="2">
        <f t="shared" ca="1" si="2"/>
        <v>32</v>
      </c>
      <c r="F6" s="2">
        <f t="shared" ca="1" si="2"/>
        <v>2</v>
      </c>
      <c r="G6" s="2">
        <f t="shared" ca="1" si="3"/>
        <v>34</v>
      </c>
      <c r="H6" s="2">
        <f t="shared" ca="1" si="4"/>
        <v>8036</v>
      </c>
      <c r="I6" s="3">
        <f t="shared" ca="1" si="5"/>
        <v>85</v>
      </c>
    </row>
    <row r="7" spans="1:9" ht="19.5" thickBot="1" x14ac:dyDescent="0.35">
      <c r="A7" s="2" t="s">
        <v>12</v>
      </c>
      <c r="B7" s="2">
        <f t="shared" ca="1" si="0"/>
        <v>23</v>
      </c>
      <c r="C7" s="2">
        <f t="shared" ca="1" si="0"/>
        <v>233</v>
      </c>
      <c r="D7" s="2">
        <f t="shared" ca="1" si="1"/>
        <v>153</v>
      </c>
      <c r="E7" s="2">
        <f t="shared" ca="1" si="2"/>
        <v>60</v>
      </c>
      <c r="F7" s="2">
        <f t="shared" ca="1" si="2"/>
        <v>40</v>
      </c>
      <c r="G7" s="2">
        <f t="shared" ca="1" si="3"/>
        <v>100</v>
      </c>
      <c r="H7" s="2">
        <f t="shared" ca="1" si="4"/>
        <v>10700</v>
      </c>
      <c r="I7" s="3">
        <f t="shared" ca="1" si="5"/>
        <v>53</v>
      </c>
    </row>
    <row r="8" spans="1:9" ht="19.5" thickBot="1" x14ac:dyDescent="0.35">
      <c r="A8" s="2" t="s">
        <v>13</v>
      </c>
      <c r="B8" s="2">
        <f t="shared" ca="1" si="0"/>
        <v>428</v>
      </c>
      <c r="C8" s="2">
        <f t="shared" ca="1" si="0"/>
        <v>209</v>
      </c>
      <c r="D8" s="2">
        <f t="shared" ca="1" si="1"/>
        <v>19</v>
      </c>
      <c r="E8" s="2">
        <f t="shared" ca="1" si="2"/>
        <v>5</v>
      </c>
      <c r="F8" s="2">
        <f t="shared" ca="1" si="2"/>
        <v>7</v>
      </c>
      <c r="G8" s="2">
        <f t="shared" ca="1" si="3"/>
        <v>12</v>
      </c>
      <c r="H8" s="2">
        <f t="shared" ca="1" si="4"/>
        <v>3603</v>
      </c>
      <c r="I8" s="3">
        <f t="shared" ca="1" si="5"/>
        <v>7</v>
      </c>
    </row>
  </sheetData>
  <mergeCells count="7">
    <mergeCell ref="A1:I1"/>
    <mergeCell ref="A2:A3"/>
    <mergeCell ref="B2:C2"/>
    <mergeCell ref="D2:D3"/>
    <mergeCell ref="E2:G2"/>
    <mergeCell ref="H2:H3"/>
    <mergeCell ref="I2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AA025-8F40-415D-A143-10B5C5B917A9}">
  <dimension ref="A1:C22"/>
  <sheetViews>
    <sheetView tabSelected="1" workbookViewId="0">
      <selection sqref="A1:C22"/>
    </sheetView>
  </sheetViews>
  <sheetFormatPr defaultRowHeight="15" outlineLevelRow="1" x14ac:dyDescent="0.25"/>
  <cols>
    <col min="1" max="1" width="29.42578125" bestFit="1" customWidth="1"/>
    <col min="2" max="2" width="18.85546875" bestFit="1" customWidth="1"/>
    <col min="3" max="3" width="35.140625" bestFit="1" customWidth="1"/>
  </cols>
  <sheetData>
    <row r="1" spans="1:3" ht="19.5" thickBot="1" x14ac:dyDescent="0.35">
      <c r="A1" s="9" t="s">
        <v>15</v>
      </c>
      <c r="B1" s="9"/>
      <c r="C1" s="9"/>
    </row>
    <row r="2" spans="1:3" ht="19.5" thickBot="1" x14ac:dyDescent="0.35">
      <c r="A2" s="5" t="s">
        <v>16</v>
      </c>
      <c r="B2" s="5" t="s">
        <v>17</v>
      </c>
      <c r="C2" s="5" t="s">
        <v>18</v>
      </c>
    </row>
    <row r="3" spans="1:3" ht="19.5" hidden="1" outlineLevel="1" thickBot="1" x14ac:dyDescent="0.35">
      <c r="A3" s="5"/>
      <c r="B3" s="5">
        <f ca="1">Март!$G$4</f>
        <v>27</v>
      </c>
      <c r="C3" s="5">
        <f ca="1">Март!$H$4</f>
        <v>5566</v>
      </c>
    </row>
    <row r="4" spans="1:3" ht="19.5" hidden="1" outlineLevel="1" collapsed="1" thickBot="1" x14ac:dyDescent="0.35">
      <c r="A4" s="5"/>
      <c r="B4" s="5">
        <f ca="1">Февраль!$G$4</f>
        <v>65</v>
      </c>
      <c r="C4" s="5">
        <f ca="1">Февраль!$H$4</f>
        <v>21379</v>
      </c>
    </row>
    <row r="5" spans="1:3" ht="19.5" hidden="1" outlineLevel="1" collapsed="1" thickBot="1" x14ac:dyDescent="0.35">
      <c r="A5" s="5"/>
      <c r="B5" s="5">
        <f ca="1">Январь!$G$4</f>
        <v>22</v>
      </c>
      <c r="C5" s="5">
        <f ca="1">Январь!$H$4</f>
        <v>6094</v>
      </c>
    </row>
    <row r="6" spans="1:3" ht="19.5" collapsed="1" thickBot="1" x14ac:dyDescent="0.35">
      <c r="A6" s="2" t="str" cm="1">
        <f t="array" ref="A6">Январь!A4:A4</f>
        <v>Телевизор</v>
      </c>
      <c r="B6" s="6">
        <f ca="1">SUM(B3:B5)</f>
        <v>114</v>
      </c>
      <c r="C6" s="6">
        <f ca="1">SUM(C3:C5)</f>
        <v>33039</v>
      </c>
    </row>
    <row r="7" spans="1:3" ht="19.5" hidden="1" outlineLevel="1" thickBot="1" x14ac:dyDescent="0.35">
      <c r="A7" s="2"/>
      <c r="B7" s="6">
        <f ca="1">Март!$G$5</f>
        <v>45</v>
      </c>
      <c r="C7" s="6">
        <f ca="1">Март!$H$5</f>
        <v>20764</v>
      </c>
    </row>
    <row r="8" spans="1:3" ht="19.5" hidden="1" outlineLevel="1" collapsed="1" thickBot="1" x14ac:dyDescent="0.35">
      <c r="A8" s="2"/>
      <c r="B8" s="6">
        <f ca="1">Февраль!$G$5</f>
        <v>57</v>
      </c>
      <c r="C8" s="6">
        <f ca="1">Февраль!$H$5</f>
        <v>9387</v>
      </c>
    </row>
    <row r="9" spans="1:3" ht="19.5" hidden="1" outlineLevel="1" collapsed="1" thickBot="1" x14ac:dyDescent="0.35">
      <c r="A9" s="2"/>
      <c r="B9" s="6">
        <f ca="1">Январь!$G$5</f>
        <v>35</v>
      </c>
      <c r="C9" s="6">
        <f ca="1">Январь!$H$5</f>
        <v>6086</v>
      </c>
    </row>
    <row r="10" spans="1:3" ht="19.5" collapsed="1" thickBot="1" x14ac:dyDescent="0.35">
      <c r="A10" s="2" t="str" cm="1">
        <f t="array" ref="A10">Январь!A5:A5</f>
        <v>Кофеварка</v>
      </c>
      <c r="B10" s="6">
        <f ca="1">SUM(B7:B9)</f>
        <v>137</v>
      </c>
      <c r="C10" s="6">
        <f ca="1">SUM(C7:C9)</f>
        <v>36237</v>
      </c>
    </row>
    <row r="11" spans="1:3" ht="19.5" hidden="1" outlineLevel="1" thickBot="1" x14ac:dyDescent="0.35">
      <c r="A11" s="2"/>
      <c r="B11" s="6">
        <f ca="1">Март!$G$6</f>
        <v>34</v>
      </c>
      <c r="C11" s="6">
        <f ca="1">Март!$H$6</f>
        <v>8036</v>
      </c>
    </row>
    <row r="12" spans="1:3" ht="19.5" hidden="1" outlineLevel="1" collapsed="1" thickBot="1" x14ac:dyDescent="0.35">
      <c r="A12" s="2"/>
      <c r="B12" s="6">
        <f ca="1">Февраль!$G$6</f>
        <v>62</v>
      </c>
      <c r="C12" s="6">
        <f ca="1">Февраль!$H$6</f>
        <v>8662</v>
      </c>
    </row>
    <row r="13" spans="1:3" ht="19.5" hidden="1" outlineLevel="1" collapsed="1" thickBot="1" x14ac:dyDescent="0.35">
      <c r="A13" s="2"/>
      <c r="B13" s="6">
        <f ca="1">Январь!$G$6</f>
        <v>109</v>
      </c>
      <c r="C13" s="6">
        <f ca="1">Январь!$H$6</f>
        <v>33947</v>
      </c>
    </row>
    <row r="14" spans="1:3" ht="19.5" collapsed="1" thickBot="1" x14ac:dyDescent="0.35">
      <c r="A14" s="4" t="str" cm="1">
        <f t="array" ref="A14">Январь!A6:A6</f>
        <v>Музыкаль-ный центр</v>
      </c>
      <c r="B14" s="6">
        <f ca="1">SUM(B11:B13)</f>
        <v>205</v>
      </c>
      <c r="C14" s="6">
        <f ca="1">SUM(C11:C13)</f>
        <v>50645</v>
      </c>
    </row>
    <row r="15" spans="1:3" ht="19.5" hidden="1" outlineLevel="1" thickBot="1" x14ac:dyDescent="0.35">
      <c r="A15" s="4"/>
      <c r="B15" s="6">
        <f ca="1">Март!$G$7</f>
        <v>100</v>
      </c>
      <c r="C15" s="6">
        <f ca="1">Март!$H$7</f>
        <v>10700</v>
      </c>
    </row>
    <row r="16" spans="1:3" ht="19.5" hidden="1" outlineLevel="1" collapsed="1" thickBot="1" x14ac:dyDescent="0.35">
      <c r="A16" s="4"/>
      <c r="B16" s="6">
        <f ca="1">Февраль!$G$7</f>
        <v>41</v>
      </c>
      <c r="C16" s="6">
        <f ca="1">Февраль!$H$7</f>
        <v>9708</v>
      </c>
    </row>
    <row r="17" spans="1:3" ht="19.5" hidden="1" outlineLevel="1" collapsed="1" thickBot="1" x14ac:dyDescent="0.35">
      <c r="A17" s="4"/>
      <c r="B17" s="6">
        <f ca="1">Январь!$G$7</f>
        <v>59</v>
      </c>
      <c r="C17" s="6">
        <f ca="1">Январь!$H$7</f>
        <v>8008</v>
      </c>
    </row>
    <row r="18" spans="1:3" ht="19.5" collapsed="1" thickBot="1" x14ac:dyDescent="0.35">
      <c r="A18" s="2" t="str" cm="1">
        <f t="array" ref="A18">Январь!A7:A7</f>
        <v>Видеокамера</v>
      </c>
      <c r="B18" s="6">
        <f ca="1">SUM(B15:B17)</f>
        <v>200</v>
      </c>
      <c r="C18" s="6">
        <f ca="1">SUM(C15:C17)</f>
        <v>28416</v>
      </c>
    </row>
    <row r="19" spans="1:3" ht="19.5" hidden="1" outlineLevel="1" thickBot="1" x14ac:dyDescent="0.35">
      <c r="A19" s="2"/>
      <c r="B19" s="6">
        <f ca="1">Март!$G$8</f>
        <v>12</v>
      </c>
      <c r="C19" s="6">
        <f ca="1">Март!$H$8</f>
        <v>3603</v>
      </c>
    </row>
    <row r="20" spans="1:3" ht="19.5" hidden="1" outlineLevel="1" collapsed="1" thickBot="1" x14ac:dyDescent="0.35">
      <c r="A20" s="2"/>
      <c r="B20" s="6">
        <f ca="1">Февраль!$G$8</f>
        <v>49</v>
      </c>
      <c r="C20" s="6">
        <f ca="1">Февраль!$H$8</f>
        <v>20636</v>
      </c>
    </row>
    <row r="21" spans="1:3" ht="19.5" hidden="1" outlineLevel="1" collapsed="1" thickBot="1" x14ac:dyDescent="0.35">
      <c r="A21" s="2"/>
      <c r="B21" s="6">
        <f ca="1">Январь!$G$8</f>
        <v>89</v>
      </c>
      <c r="C21" s="6">
        <f ca="1">Январь!$H$8</f>
        <v>23436</v>
      </c>
    </row>
    <row r="22" spans="1:3" ht="19.5" collapsed="1" thickBot="1" x14ac:dyDescent="0.35">
      <c r="A22" s="2" t="str" cm="1">
        <f t="array" ref="A22">Январь!A8:A8</f>
        <v>Фотоаппарат</v>
      </c>
      <c r="B22" s="6">
        <f ca="1">SUM(B19:B21)</f>
        <v>150</v>
      </c>
      <c r="C22" s="6">
        <f ca="1">SUM(C19:C21)</f>
        <v>47675</v>
      </c>
    </row>
  </sheetData>
  <dataConsolidate link="1">
    <dataRefs count="3">
      <dataRef ref="G4:H8" sheet="Март"/>
      <dataRef ref="G4:H8" sheet="Февраль"/>
      <dataRef ref="G4:H8" sheet="Январь"/>
    </dataRefs>
  </dataConsolidate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Январь</vt:lpstr>
      <vt:lpstr>Февраль</vt:lpstr>
      <vt:lpstr>Март</vt:lpstr>
      <vt:lpstr>Итог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Пестов Степан Иванович</cp:lastModifiedBy>
  <dcterms:created xsi:type="dcterms:W3CDTF">2015-06-05T18:19:34Z</dcterms:created>
  <dcterms:modified xsi:type="dcterms:W3CDTF">2025-12-02T11:59:32Z</dcterms:modified>
</cp:coreProperties>
</file>