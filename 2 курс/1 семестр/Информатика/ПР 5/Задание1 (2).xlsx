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2 курс ВятГу\Информатика\ПР 5\"/>
    </mc:Choice>
  </mc:AlternateContent>
  <xr:revisionPtr revIDLastSave="0" documentId="8_{1CB7F183-CEDB-46FE-9AAC-C93415EE7AF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ФИО" sheetId="1" r:id="rId1"/>
    <sheet name="счет" sheetId="2" r:id="rId2"/>
    <sheet name="Лист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" i="1"/>
</calcChain>
</file>

<file path=xl/sharedStrings.xml><?xml version="1.0" encoding="utf-8"?>
<sst xmlns="http://schemas.openxmlformats.org/spreadsheetml/2006/main" count="144" uniqueCount="142">
  <si>
    <t>Федорова Ксения Владимировна</t>
  </si>
  <si>
    <t>Ефимов Максим Платонович</t>
  </si>
  <si>
    <t>Пахомова Анна Семёновна</t>
  </si>
  <si>
    <t>Алексеева Елизавета Мирославовна</t>
  </si>
  <si>
    <t>Трошина Айлин Данииловна</t>
  </si>
  <si>
    <t>Иванов Георгий Павлович</t>
  </si>
  <si>
    <t>Крючкова Варвара Сергеевна</t>
  </si>
  <si>
    <t>Кудрявцев Арсений Савельевич</t>
  </si>
  <si>
    <t>Григорьев Матвей Кириллович</t>
  </si>
  <si>
    <t>Зайцев Михаил Егорович</t>
  </si>
  <si>
    <t>Федорова К.В.</t>
  </si>
  <si>
    <t>Ефимов М.П.</t>
  </si>
  <si>
    <t>Пахомова А.С.</t>
  </si>
  <si>
    <t>Алексеева Е.М.</t>
  </si>
  <si>
    <t>Трошина А.Д.</t>
  </si>
  <si>
    <t>Иванов Г.П.</t>
  </si>
  <si>
    <t>Крючкова В.С.</t>
  </si>
  <si>
    <t>Кудрявцев А.С.</t>
  </si>
  <si>
    <t>Григорьев М.К.</t>
  </si>
  <si>
    <t>Зайцев М.Е.</t>
  </si>
  <si>
    <t>Ксения</t>
  </si>
  <si>
    <t>Максим</t>
  </si>
  <si>
    <t>Анна</t>
  </si>
  <si>
    <t>Елизавета</t>
  </si>
  <si>
    <t>Айлин</t>
  </si>
  <si>
    <t>Георгий</t>
  </si>
  <si>
    <t>Варвара</t>
  </si>
  <si>
    <t>Арсений</t>
  </si>
  <si>
    <t>Матвей</t>
  </si>
  <si>
    <t>Михаил</t>
  </si>
  <si>
    <t>Астрахань</t>
  </si>
  <si>
    <t>Счет №52 от 17.09.2015 г. на сумму 51700 р. за доставку груза в г. Астрахань</t>
  </si>
  <si>
    <t>Домодедово</t>
  </si>
  <si>
    <t>Счет №87 от 15.04.2015 г. на сумму 22500 р. за доставку груза в г. Домодедово</t>
  </si>
  <si>
    <t>Нижневартовск</t>
  </si>
  <si>
    <t>Счет №75 от 27.11.2013 г. на сумму 74900 р. за доставку груза в г. Нижневартовск</t>
  </si>
  <si>
    <t>Йошкар-Ола</t>
  </si>
  <si>
    <t>Счет №76 от 12.07.2013 г. на сумму 17000 р. за доставку груза в г. Йошкар-Ола</t>
  </si>
  <si>
    <t>Владимир</t>
  </si>
  <si>
    <t>Счет №8 от 17.09.2017 г. на сумму 11900 р. за доставку груза в г. Владимир</t>
  </si>
  <si>
    <t>Волгоград</t>
  </si>
  <si>
    <t>Счет №91 от 30.06.2011 г. на сумму 7800 р. за доставку груза в г. Волгоград</t>
  </si>
  <si>
    <t>Кисловодск</t>
  </si>
  <si>
    <t>Счет №42 от 24.08.2012 г. на сумму 47000 р. за доставку груза в г. Кисловодск</t>
  </si>
  <si>
    <t>Подольск</t>
  </si>
  <si>
    <t>Счет №60 от 20.03.2017 г. на сумму 42400 р. за доставку груза в г. Подольск</t>
  </si>
  <si>
    <t>Орск</t>
  </si>
  <si>
    <t>Счет №32 от 22.11.2016 г. на сумму 35300 р. за доставку груза в г. Орск</t>
  </si>
  <si>
    <t>Орехово -Зуево</t>
  </si>
  <si>
    <t>Счет №99 от 12.03.2017 г. на сумму 63000 р. за доставку груза в г. Орехово -Зуево</t>
  </si>
  <si>
    <t>Химки</t>
  </si>
  <si>
    <t>Счет №54 от 22.10.2011 г. на сумму 29800 р. за доставку груза в г. Химки</t>
  </si>
  <si>
    <t>Яна Михайлова</t>
  </si>
  <si>
    <t>Константин Соловьев</t>
  </si>
  <si>
    <t>Артур Тарасов</t>
  </si>
  <si>
    <t>Вероника Кулагина</t>
  </si>
  <si>
    <t>Ольга Иванова</t>
  </si>
  <si>
    <t>Дарья Соболева</t>
  </si>
  <si>
    <t>Варвара Гордеева</t>
  </si>
  <si>
    <t>Маргарита Комарова</t>
  </si>
  <si>
    <t>Святослав Колпаков</t>
  </si>
  <si>
    <t>Софья Плотникова</t>
  </si>
  <si>
    <t>Милана Бирюкова</t>
  </si>
  <si>
    <t>Богдан Попов</t>
  </si>
  <si>
    <t>Ева Коновалова</t>
  </si>
  <si>
    <t>Екатерина Лебедева</t>
  </si>
  <si>
    <t>Таисия Киселева</t>
  </si>
  <si>
    <t>София Морозова</t>
  </si>
  <si>
    <t>Матвей Лебедев</t>
  </si>
  <si>
    <t>Кристина Белоусова</t>
  </si>
  <si>
    <t>Василий Колесников</t>
  </si>
  <si>
    <t>Егор Вавилов</t>
  </si>
  <si>
    <t>Яна</t>
  </si>
  <si>
    <t>Константин</t>
  </si>
  <si>
    <t>Артур</t>
  </si>
  <si>
    <t>Вероника</t>
  </si>
  <si>
    <t>Ольга</t>
  </si>
  <si>
    <t>Дарья</t>
  </si>
  <si>
    <t>Маргарита</t>
  </si>
  <si>
    <t>Святослав</t>
  </si>
  <si>
    <t>Софья</t>
  </si>
  <si>
    <t>Милана</t>
  </si>
  <si>
    <t>Богдан</t>
  </si>
  <si>
    <t>Ева</t>
  </si>
  <si>
    <t>Екатерина</t>
  </si>
  <si>
    <t>Таисия</t>
  </si>
  <si>
    <t>София</t>
  </si>
  <si>
    <t>Кристина</t>
  </si>
  <si>
    <t>Василий</t>
  </si>
  <si>
    <t>Егор</t>
  </si>
  <si>
    <t>Михайлова</t>
  </si>
  <si>
    <t>Соловьев</t>
  </si>
  <si>
    <t>Тарасов</t>
  </si>
  <si>
    <t>Кулагина</t>
  </si>
  <si>
    <t>Иванова</t>
  </si>
  <si>
    <t>Соболева</t>
  </si>
  <si>
    <t>Гордеева</t>
  </si>
  <si>
    <t>Комарова</t>
  </si>
  <si>
    <t>Колпаков</t>
  </si>
  <si>
    <t>Плотникова</t>
  </si>
  <si>
    <t>Бирюкова</t>
  </si>
  <si>
    <t>Попов</t>
  </si>
  <si>
    <t>Коновалова</t>
  </si>
  <si>
    <t>Лебедева</t>
  </si>
  <si>
    <t>Киселева</t>
  </si>
  <si>
    <t>Морозова</t>
  </si>
  <si>
    <t>Лебедев</t>
  </si>
  <si>
    <t>Белоусова</t>
  </si>
  <si>
    <t>Колесников</t>
  </si>
  <si>
    <t>Вавилов</t>
  </si>
  <si>
    <t>1 2</t>
  </si>
  <si>
    <t>3 3</t>
  </si>
  <si>
    <t>4 4</t>
  </si>
  <si>
    <t>5 1</t>
  </si>
  <si>
    <t>8 6</t>
  </si>
  <si>
    <t>5 22</t>
  </si>
  <si>
    <t>78 32</t>
  </si>
  <si>
    <t>999 1</t>
  </si>
  <si>
    <t>23 22</t>
  </si>
  <si>
    <t>21 11</t>
  </si>
  <si>
    <t>31 44</t>
  </si>
  <si>
    <t>12321 3</t>
  </si>
  <si>
    <t>ЯНА МИХАЙЛОВА</t>
  </si>
  <si>
    <t>КОНСТАНТИН СОЛОВЬЕВ</t>
  </si>
  <si>
    <t>АРТУР ТАРАСОВ</t>
  </si>
  <si>
    <t>ВЕРОНИКА КУЛАГИНА</t>
  </si>
  <si>
    <t>ОЛЬГА ИВАНОВА</t>
  </si>
  <si>
    <t>ДАРЬЯ СОБОЛЕВА</t>
  </si>
  <si>
    <t>ВАРВАРА ГОРДЕЕВА</t>
  </si>
  <si>
    <t>МАРГАРИТА КОМАРОВА</t>
  </si>
  <si>
    <t>СВЯТОСЛАВ КОЛПАКОВ</t>
  </si>
  <si>
    <t>СОФЬЯ ПЛОТНИКОВА</t>
  </si>
  <si>
    <t>МИЛАНА БИРЮКОВА</t>
  </si>
  <si>
    <t>БОГДАН ПОПОВ</t>
  </si>
  <si>
    <t>ЕВА КОНОВАЛОВА</t>
  </si>
  <si>
    <t>ЕКАТЕРИНА ЛЕБЕДЕВА</t>
  </si>
  <si>
    <t>ТАИСИЯ КИСЕЛЕВА</t>
  </si>
  <si>
    <t>СОФИЯ МОРОЗОВА</t>
  </si>
  <si>
    <t>МАТВЕЙ ЛЕБЕДЕВ</t>
  </si>
  <si>
    <t>КРИСТИНА БЕЛОУСОВА</t>
  </si>
  <si>
    <t>ВАСИЛИЙ КОЛЕСНИКОВ</t>
  </si>
  <si>
    <t>ЕГОР ВАВИЛОВ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</si>
</sst>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-* #,##0\ &quot;₽&quot;_-;\-* #,##0\ &quot;₽&quot;_-;_-* &quot;-&quot;\ &quot;₽&quot;_-;_-@_-"/>
    <numFmt numFmtId="170" formatCode="_-* #,##0.00\ &quot;₽&quot;_-;\-* #,##0.00\ &quot;₽&quot;_-;_-* &quot;-&quot;??\ &quot;₽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0F1115"/>
      <name val="Consolas"/>
      <family val="3"/>
      <charset val="204"/>
    </font>
    <font>
      <sz val="11"/>
      <color rgb="FF0A0A0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70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0" borderId="0" xfId="1"/>
    <xf numFmtId="14" fontId="1" fillId="0" borderId="0" xfId="1" applyNumberFormat="1"/>
    <xf numFmtId="168" fontId="1" fillId="0" borderId="0" xfId="2" applyNumberFormat="1" applyFont="1" applyAlignment="1">
      <alignment horizontal="left"/>
    </xf>
    <xf numFmtId="0" fontId="1" fillId="0" borderId="0" xfId="0" applyFont="1"/>
    <xf numFmtId="0" fontId="3" fillId="0" borderId="0" xfId="0" applyFont="1" applyFill="1" applyBorder="1" applyAlignment="1">
      <alignment horizontal="left" vertical="top"/>
    </xf>
    <xf numFmtId="0" fontId="0" fillId="0" borderId="0" xfId="0" applyFont="1"/>
    <xf numFmtId="2" fontId="0" fillId="0" borderId="0" xfId="0" applyNumberFormat="1"/>
  </cellXfs>
  <cellStyles count="3">
    <cellStyle name="Денежный 2" xfId="2" xr:uid="{1D938533-5FF1-448B-8020-3BE44E43CFFF}"/>
    <cellStyle name="Обычный" xfId="0" builtinId="0"/>
    <cellStyle name="Обычный 2" xfId="1" xr:uid="{D40CFF09-2D0E-45FB-8659-6C4D53E19B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K7" sqref="K7"/>
    </sheetView>
  </sheetViews>
  <sheetFormatPr defaultRowHeight="15" x14ac:dyDescent="0.25"/>
  <cols>
    <col min="1" max="1" width="35" bestFit="1" customWidth="1"/>
    <col min="2" max="3" width="15.140625" bestFit="1" customWidth="1"/>
    <col min="4" max="4" width="10.140625" bestFit="1" customWidth="1"/>
  </cols>
  <sheetData>
    <row r="1" spans="1:4" x14ac:dyDescent="0.25">
      <c r="A1" t="s">
        <v>0</v>
      </c>
      <c r="B1" t="s">
        <v>10</v>
      </c>
      <c r="C1" t="str">
        <f>LEFT(A1,FIND(" ",A1,1)+1)&amp;"."&amp;MID(A1,FIND(" ",A1,FIND(" ",A1,1)+1)+1,1)&amp;"."</f>
        <v>Федорова К.В.</v>
      </c>
      <c r="D1" t="s">
        <v>20</v>
      </c>
    </row>
    <row r="2" spans="1:4" x14ac:dyDescent="0.25">
      <c r="A2" t="s">
        <v>1</v>
      </c>
      <c r="B2" t="s">
        <v>11</v>
      </c>
      <c r="C2" t="str">
        <f t="shared" ref="C2:C10" si="0">LEFT(A2,FIND(" ",A2,1)+1)&amp;"."&amp;MID(A2,FIND(" ",A2,FIND(" ",A2,1)+1)+1,1)&amp;"."</f>
        <v>Ефимов М.П.</v>
      </c>
      <c r="D2" t="s">
        <v>21</v>
      </c>
    </row>
    <row r="3" spans="1:4" x14ac:dyDescent="0.25">
      <c r="A3" t="s">
        <v>2</v>
      </c>
      <c r="B3" t="s">
        <v>12</v>
      </c>
      <c r="C3" t="str">
        <f t="shared" si="0"/>
        <v>Пахомова А.С.</v>
      </c>
      <c r="D3" t="s">
        <v>22</v>
      </c>
    </row>
    <row r="4" spans="1:4" x14ac:dyDescent="0.25">
      <c r="A4" t="s">
        <v>3</v>
      </c>
      <c r="B4" t="s">
        <v>13</v>
      </c>
      <c r="C4" t="str">
        <f t="shared" si="0"/>
        <v>Алексеева Е.М.</v>
      </c>
      <c r="D4" t="s">
        <v>23</v>
      </c>
    </row>
    <row r="5" spans="1:4" x14ac:dyDescent="0.25">
      <c r="A5" t="s">
        <v>4</v>
      </c>
      <c r="B5" t="s">
        <v>14</v>
      </c>
      <c r="C5" t="str">
        <f t="shared" si="0"/>
        <v>Трошина А.Д.</v>
      </c>
      <c r="D5" t="s">
        <v>24</v>
      </c>
    </row>
    <row r="6" spans="1:4" x14ac:dyDescent="0.25">
      <c r="A6" t="s">
        <v>5</v>
      </c>
      <c r="B6" t="s">
        <v>15</v>
      </c>
      <c r="C6" t="str">
        <f t="shared" si="0"/>
        <v>Иванов Г.П.</v>
      </c>
      <c r="D6" t="s">
        <v>25</v>
      </c>
    </row>
    <row r="7" spans="1:4" x14ac:dyDescent="0.25">
      <c r="A7" t="s">
        <v>6</v>
      </c>
      <c r="B7" t="s">
        <v>16</v>
      </c>
      <c r="C7" t="str">
        <f t="shared" si="0"/>
        <v>Крючкова В.С.</v>
      </c>
      <c r="D7" t="s">
        <v>26</v>
      </c>
    </row>
    <row r="8" spans="1:4" x14ac:dyDescent="0.25">
      <c r="A8" t="s">
        <v>7</v>
      </c>
      <c r="B8" t="s">
        <v>17</v>
      </c>
      <c r="C8" t="str">
        <f t="shared" si="0"/>
        <v>Кудрявцев А.С.</v>
      </c>
      <c r="D8" t="s">
        <v>27</v>
      </c>
    </row>
    <row r="9" spans="1:4" x14ac:dyDescent="0.25">
      <c r="A9" t="s">
        <v>8</v>
      </c>
      <c r="B9" t="s">
        <v>18</v>
      </c>
      <c r="C9" t="str">
        <f t="shared" si="0"/>
        <v>Григорьев М.К.</v>
      </c>
      <c r="D9" t="s">
        <v>28</v>
      </c>
    </row>
    <row r="10" spans="1:4" x14ac:dyDescent="0.25">
      <c r="A10" t="s">
        <v>9</v>
      </c>
      <c r="B10" t="s">
        <v>19</v>
      </c>
      <c r="C10" t="str">
        <f t="shared" si="0"/>
        <v>Зайцев М.Е.</v>
      </c>
      <c r="D10" t="s">
        <v>29</v>
      </c>
    </row>
    <row r="14" spans="1:4" x14ac:dyDescent="0.25">
      <c r="C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01FB-D364-4D21-B6EA-B95176DDE4DF}">
  <dimension ref="A1:E11"/>
  <sheetViews>
    <sheetView workbookViewId="0">
      <selection activeCell="E10" sqref="E10"/>
    </sheetView>
  </sheetViews>
  <sheetFormatPr defaultRowHeight="15" x14ac:dyDescent="0.25"/>
  <cols>
    <col min="1" max="1" width="15.5703125" bestFit="1" customWidth="1"/>
    <col min="2" max="2" width="10.140625" bestFit="1" customWidth="1"/>
    <col min="3" max="3" width="3" bestFit="1" customWidth="1"/>
    <col min="4" max="4" width="9.42578125" bestFit="1" customWidth="1"/>
    <col min="5" max="5" width="75.85546875" bestFit="1" customWidth="1"/>
  </cols>
  <sheetData>
    <row r="1" spans="1:5" x14ac:dyDescent="0.25">
      <c r="A1" s="2" t="s">
        <v>30</v>
      </c>
      <c r="B1" s="3">
        <v>42264</v>
      </c>
      <c r="C1" s="2">
        <v>52</v>
      </c>
      <c r="D1" s="4">
        <v>51700</v>
      </c>
      <c r="E1" s="2" t="s">
        <v>31</v>
      </c>
    </row>
    <row r="2" spans="1:5" x14ac:dyDescent="0.25">
      <c r="A2" s="2" t="s">
        <v>32</v>
      </c>
      <c r="B2" s="3">
        <v>42109</v>
      </c>
      <c r="C2" s="2">
        <v>87</v>
      </c>
      <c r="D2" s="4">
        <v>22500</v>
      </c>
      <c r="E2" s="2" t="s">
        <v>33</v>
      </c>
    </row>
    <row r="3" spans="1:5" x14ac:dyDescent="0.25">
      <c r="A3" s="2" t="s">
        <v>34</v>
      </c>
      <c r="B3" s="3">
        <v>41605</v>
      </c>
      <c r="C3" s="2">
        <v>75</v>
      </c>
      <c r="D3" s="4">
        <v>74900</v>
      </c>
      <c r="E3" s="2" t="s">
        <v>35</v>
      </c>
    </row>
    <row r="4" spans="1:5" x14ac:dyDescent="0.25">
      <c r="A4" s="2" t="s">
        <v>36</v>
      </c>
      <c r="B4" s="3">
        <v>41467</v>
      </c>
      <c r="C4" s="2">
        <v>76</v>
      </c>
      <c r="D4" s="4">
        <v>17000</v>
      </c>
      <c r="E4" s="2" t="s">
        <v>37</v>
      </c>
    </row>
    <row r="5" spans="1:5" x14ac:dyDescent="0.25">
      <c r="A5" s="2" t="s">
        <v>38</v>
      </c>
      <c r="B5" s="3">
        <v>42995</v>
      </c>
      <c r="C5" s="2">
        <v>8</v>
      </c>
      <c r="D5" s="4">
        <v>11900</v>
      </c>
      <c r="E5" s="2" t="s">
        <v>39</v>
      </c>
    </row>
    <row r="6" spans="1:5" x14ac:dyDescent="0.25">
      <c r="A6" s="2" t="s">
        <v>40</v>
      </c>
      <c r="B6" s="3">
        <v>40724</v>
      </c>
      <c r="C6" s="2">
        <v>91</v>
      </c>
      <c r="D6" s="4">
        <v>7800</v>
      </c>
      <c r="E6" s="2" t="s">
        <v>41</v>
      </c>
    </row>
    <row r="7" spans="1:5" x14ac:dyDescent="0.25">
      <c r="A7" s="2" t="s">
        <v>42</v>
      </c>
      <c r="B7" s="3">
        <v>41145</v>
      </c>
      <c r="C7" s="2">
        <v>42</v>
      </c>
      <c r="D7" s="4">
        <v>47000</v>
      </c>
      <c r="E7" s="2" t="s">
        <v>43</v>
      </c>
    </row>
    <row r="8" spans="1:5" x14ac:dyDescent="0.25">
      <c r="A8" s="2" t="s">
        <v>44</v>
      </c>
      <c r="B8" s="3">
        <v>42814</v>
      </c>
      <c r="C8" s="2">
        <v>60</v>
      </c>
      <c r="D8" s="4">
        <v>42400</v>
      </c>
      <c r="E8" s="2" t="s">
        <v>45</v>
      </c>
    </row>
    <row r="9" spans="1:5" x14ac:dyDescent="0.25">
      <c r="A9" s="2" t="s">
        <v>46</v>
      </c>
      <c r="B9" s="3">
        <v>42696</v>
      </c>
      <c r="C9" s="2">
        <v>32</v>
      </c>
      <c r="D9" s="4">
        <v>35300</v>
      </c>
      <c r="E9" s="2" t="s">
        <v>47</v>
      </c>
    </row>
    <row r="10" spans="1:5" x14ac:dyDescent="0.25">
      <c r="A10" s="2" t="s">
        <v>48</v>
      </c>
      <c r="B10" s="3">
        <v>42806</v>
      </c>
      <c r="C10" s="2">
        <v>99</v>
      </c>
      <c r="D10" s="4">
        <v>63000</v>
      </c>
      <c r="E10" s="2" t="s">
        <v>49</v>
      </c>
    </row>
    <row r="11" spans="1:5" x14ac:dyDescent="0.25">
      <c r="A11" s="2" t="s">
        <v>50</v>
      </c>
      <c r="B11" s="3">
        <v>40838</v>
      </c>
      <c r="C11" s="2">
        <v>54</v>
      </c>
      <c r="D11" s="4">
        <v>29800</v>
      </c>
      <c r="E11" s="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9C7C-1983-4324-95F2-0B9239DDE43B}">
  <dimension ref="A1:D38"/>
  <sheetViews>
    <sheetView tabSelected="1" workbookViewId="0">
      <selection activeCell="D23" sqref="D23:D24"/>
    </sheetView>
  </sheetViews>
  <sheetFormatPr defaultRowHeight="15" x14ac:dyDescent="0.25"/>
  <cols>
    <col min="1" max="1" width="29" customWidth="1"/>
    <col min="2" max="2" width="34.140625" customWidth="1"/>
    <col min="3" max="3" width="58.28515625" bestFit="1" customWidth="1"/>
    <col min="4" max="4" width="73.42578125" customWidth="1"/>
  </cols>
  <sheetData>
    <row r="1" spans="1:4" x14ac:dyDescent="0.25">
      <c r="A1" s="6" t="s">
        <v>72</v>
      </c>
      <c r="B1" s="6" t="s">
        <v>90</v>
      </c>
      <c r="C1" s="7" t="s">
        <v>52</v>
      </c>
      <c r="D1" t="s">
        <v>122</v>
      </c>
    </row>
    <row r="2" spans="1:4" x14ac:dyDescent="0.25">
      <c r="A2" s="6" t="s">
        <v>73</v>
      </c>
      <c r="B2" s="6" t="s">
        <v>91</v>
      </c>
      <c r="C2" s="7" t="s">
        <v>53</v>
      </c>
      <c r="D2" t="s">
        <v>123</v>
      </c>
    </row>
    <row r="3" spans="1:4" x14ac:dyDescent="0.25">
      <c r="A3" s="6" t="s">
        <v>74</v>
      </c>
      <c r="B3" s="6" t="s">
        <v>92</v>
      </c>
      <c r="C3" s="7" t="s">
        <v>54</v>
      </c>
      <c r="D3" t="s">
        <v>124</v>
      </c>
    </row>
    <row r="4" spans="1:4" x14ac:dyDescent="0.25">
      <c r="A4" s="6" t="s">
        <v>75</v>
      </c>
      <c r="B4" s="6" t="s">
        <v>93</v>
      </c>
      <c r="C4" s="7" t="s">
        <v>55</v>
      </c>
      <c r="D4" t="s">
        <v>125</v>
      </c>
    </row>
    <row r="5" spans="1:4" x14ac:dyDescent="0.25">
      <c r="A5" s="6" t="s">
        <v>76</v>
      </c>
      <c r="B5" s="6" t="s">
        <v>94</v>
      </c>
      <c r="C5" s="7" t="s">
        <v>56</v>
      </c>
      <c r="D5" t="s">
        <v>126</v>
      </c>
    </row>
    <row r="6" spans="1:4" x14ac:dyDescent="0.25">
      <c r="A6" s="6" t="s">
        <v>77</v>
      </c>
      <c r="B6" s="6" t="s">
        <v>95</v>
      </c>
      <c r="C6" s="7" t="s">
        <v>57</v>
      </c>
      <c r="D6" t="s">
        <v>127</v>
      </c>
    </row>
    <row r="7" spans="1:4" x14ac:dyDescent="0.25">
      <c r="A7" s="6" t="s">
        <v>26</v>
      </c>
      <c r="B7" s="6" t="s">
        <v>96</v>
      </c>
      <c r="C7" s="7" t="s">
        <v>58</v>
      </c>
      <c r="D7" t="s">
        <v>128</v>
      </c>
    </row>
    <row r="8" spans="1:4" x14ac:dyDescent="0.25">
      <c r="A8" s="6" t="s">
        <v>78</v>
      </c>
      <c r="B8" s="6" t="s">
        <v>97</v>
      </c>
      <c r="C8" s="7" t="s">
        <v>59</v>
      </c>
      <c r="D8" t="s">
        <v>129</v>
      </c>
    </row>
    <row r="9" spans="1:4" x14ac:dyDescent="0.25">
      <c r="A9" s="6" t="s">
        <v>79</v>
      </c>
      <c r="B9" s="6" t="s">
        <v>98</v>
      </c>
      <c r="C9" s="7" t="s">
        <v>60</v>
      </c>
      <c r="D9" t="s">
        <v>130</v>
      </c>
    </row>
    <row r="10" spans="1:4" x14ac:dyDescent="0.25">
      <c r="A10" s="6" t="s">
        <v>80</v>
      </c>
      <c r="B10" s="6" t="s">
        <v>99</v>
      </c>
      <c r="C10" s="7" t="s">
        <v>61</v>
      </c>
      <c r="D10" t="s">
        <v>131</v>
      </c>
    </row>
    <row r="11" spans="1:4" x14ac:dyDescent="0.25">
      <c r="A11" s="6" t="s">
        <v>81</v>
      </c>
      <c r="B11" s="6" t="s">
        <v>100</v>
      </c>
      <c r="C11" s="7" t="s">
        <v>62</v>
      </c>
      <c r="D11" t="s">
        <v>132</v>
      </c>
    </row>
    <row r="12" spans="1:4" x14ac:dyDescent="0.25">
      <c r="A12" s="6" t="s">
        <v>82</v>
      </c>
      <c r="B12" s="6" t="s">
        <v>101</v>
      </c>
      <c r="C12" s="7" t="s">
        <v>63</v>
      </c>
      <c r="D12" t="s">
        <v>133</v>
      </c>
    </row>
    <row r="13" spans="1:4" x14ac:dyDescent="0.25">
      <c r="A13" s="6" t="s">
        <v>83</v>
      </c>
      <c r="B13" s="6" t="s">
        <v>102</v>
      </c>
      <c r="C13" s="7" t="s">
        <v>64</v>
      </c>
      <c r="D13" t="s">
        <v>134</v>
      </c>
    </row>
    <row r="14" spans="1:4" x14ac:dyDescent="0.25">
      <c r="A14" s="6" t="s">
        <v>84</v>
      </c>
      <c r="B14" s="6" t="s">
        <v>103</v>
      </c>
      <c r="C14" s="7" t="s">
        <v>65</v>
      </c>
      <c r="D14" t="s">
        <v>135</v>
      </c>
    </row>
    <row r="15" spans="1:4" x14ac:dyDescent="0.25">
      <c r="A15" s="6" t="s">
        <v>85</v>
      </c>
      <c r="B15" s="6" t="s">
        <v>104</v>
      </c>
      <c r="C15" s="7" t="s">
        <v>66</v>
      </c>
      <c r="D15" t="s">
        <v>136</v>
      </c>
    </row>
    <row r="16" spans="1:4" x14ac:dyDescent="0.25">
      <c r="A16" s="6" t="s">
        <v>86</v>
      </c>
      <c r="B16" s="6" t="s">
        <v>105</v>
      </c>
      <c r="C16" s="7" t="s">
        <v>67</v>
      </c>
      <c r="D16" t="s">
        <v>137</v>
      </c>
    </row>
    <row r="17" spans="1:4" x14ac:dyDescent="0.25">
      <c r="A17" s="6" t="s">
        <v>28</v>
      </c>
      <c r="B17" s="6" t="s">
        <v>106</v>
      </c>
      <c r="C17" s="7" t="s">
        <v>68</v>
      </c>
      <c r="D17" t="s">
        <v>138</v>
      </c>
    </row>
    <row r="18" spans="1:4" x14ac:dyDescent="0.25">
      <c r="A18" s="6" t="s">
        <v>87</v>
      </c>
      <c r="B18" s="6" t="s">
        <v>107</v>
      </c>
      <c r="C18" s="7" t="s">
        <v>69</v>
      </c>
      <c r="D18" t="s">
        <v>139</v>
      </c>
    </row>
    <row r="19" spans="1:4" x14ac:dyDescent="0.25">
      <c r="A19" s="6" t="s">
        <v>88</v>
      </c>
      <c r="B19" s="6" t="s">
        <v>108</v>
      </c>
      <c r="C19" s="7" t="s">
        <v>70</v>
      </c>
      <c r="D19" t="s">
        <v>140</v>
      </c>
    </row>
    <row r="20" spans="1:4" x14ac:dyDescent="0.25">
      <c r="A20" s="6" t="s">
        <v>89</v>
      </c>
      <c r="B20" s="6" t="s">
        <v>109</v>
      </c>
      <c r="C20" s="7" t="s">
        <v>71</v>
      </c>
      <c r="D20" t="s">
        <v>141</v>
      </c>
    </row>
    <row r="21" spans="1:4" x14ac:dyDescent="0.25">
      <c r="B21" s="5"/>
    </row>
    <row r="22" spans="1:4" x14ac:dyDescent="0.25">
      <c r="B22" s="5"/>
    </row>
    <row r="23" spans="1:4" x14ac:dyDescent="0.25">
      <c r="B23" s="5"/>
    </row>
    <row r="24" spans="1:4" x14ac:dyDescent="0.25">
      <c r="B24" s="5"/>
    </row>
    <row r="25" spans="1:4" x14ac:dyDescent="0.25">
      <c r="B25" s="5"/>
    </row>
    <row r="26" spans="1:4" x14ac:dyDescent="0.25">
      <c r="B26" s="5"/>
    </row>
    <row r="27" spans="1:4" x14ac:dyDescent="0.25">
      <c r="A27">
        <v>1</v>
      </c>
      <c r="B27">
        <v>2</v>
      </c>
      <c r="C27" t="s">
        <v>110</v>
      </c>
      <c r="D27" s="8"/>
    </row>
    <row r="28" spans="1:4" x14ac:dyDescent="0.25">
      <c r="A28">
        <v>3</v>
      </c>
      <c r="B28">
        <v>3</v>
      </c>
      <c r="C28" t="s">
        <v>111</v>
      </c>
      <c r="D28" s="8"/>
    </row>
    <row r="29" spans="1:4" x14ac:dyDescent="0.25">
      <c r="A29">
        <v>4</v>
      </c>
      <c r="B29">
        <v>4</v>
      </c>
      <c r="C29" t="s">
        <v>112</v>
      </c>
      <c r="D29" s="8"/>
    </row>
    <row r="30" spans="1:4" x14ac:dyDescent="0.25">
      <c r="A30">
        <v>5</v>
      </c>
      <c r="B30">
        <v>1</v>
      </c>
      <c r="C30" t="s">
        <v>113</v>
      </c>
      <c r="D30" s="8"/>
    </row>
    <row r="31" spans="1:4" x14ac:dyDescent="0.25">
      <c r="A31">
        <v>8</v>
      </c>
      <c r="B31">
        <v>6</v>
      </c>
      <c r="C31" t="s">
        <v>114</v>
      </c>
      <c r="D31" s="8"/>
    </row>
    <row r="32" spans="1:4" x14ac:dyDescent="0.25">
      <c r="A32">
        <v>5</v>
      </c>
      <c r="B32">
        <v>22</v>
      </c>
      <c r="C32" t="s">
        <v>115</v>
      </c>
      <c r="D32" s="8"/>
    </row>
    <row r="33" spans="1:4" x14ac:dyDescent="0.25">
      <c r="A33">
        <v>78</v>
      </c>
      <c r="B33">
        <v>32</v>
      </c>
      <c r="C33" t="s">
        <v>116</v>
      </c>
      <c r="D33" s="8"/>
    </row>
    <row r="34" spans="1:4" x14ac:dyDescent="0.25">
      <c r="A34">
        <v>999</v>
      </c>
      <c r="B34">
        <v>1</v>
      </c>
      <c r="C34" t="s">
        <v>117</v>
      </c>
      <c r="D34" s="8"/>
    </row>
    <row r="35" spans="1:4" x14ac:dyDescent="0.25">
      <c r="A35">
        <v>23</v>
      </c>
      <c r="B35">
        <v>22</v>
      </c>
      <c r="C35" t="s">
        <v>118</v>
      </c>
      <c r="D35" s="8"/>
    </row>
    <row r="36" spans="1:4" x14ac:dyDescent="0.25">
      <c r="A36">
        <v>21</v>
      </c>
      <c r="B36">
        <v>11</v>
      </c>
      <c r="C36" t="s">
        <v>119</v>
      </c>
      <c r="D36" s="8"/>
    </row>
    <row r="37" spans="1:4" x14ac:dyDescent="0.25">
      <c r="A37">
        <v>31</v>
      </c>
      <c r="B37">
        <v>44</v>
      </c>
      <c r="C37" t="s">
        <v>120</v>
      </c>
      <c r="D37" s="8"/>
    </row>
    <row r="38" spans="1:4" x14ac:dyDescent="0.25">
      <c r="A38">
        <v>12321</v>
      </c>
      <c r="B38">
        <v>3</v>
      </c>
      <c r="C38" t="s">
        <v>121</v>
      </c>
      <c r="D3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ФИО</vt:lpstr>
      <vt:lpstr>счет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Пестов Степан Иванович</cp:lastModifiedBy>
  <dcterms:created xsi:type="dcterms:W3CDTF">2015-06-05T18:19:34Z</dcterms:created>
  <dcterms:modified xsi:type="dcterms:W3CDTF">2025-11-27T22:47:58Z</dcterms:modified>
</cp:coreProperties>
</file>