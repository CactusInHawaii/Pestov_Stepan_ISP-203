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2 курс ВятГу\Информатика\ПР 5\"/>
    </mc:Choice>
  </mc:AlternateContent>
  <xr:revisionPtr revIDLastSave="0" documentId="13_ncr:1_{49CFF139-5723-40A2-9EB2-93029550ECFB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Основной" sheetId="1" r:id="rId1"/>
    <sheet name="Основной 2.1" sheetId="4" r:id="rId2"/>
    <sheet name="Основной 2.2" sheetId="6" r:id="rId3"/>
    <sheet name="Основной 2.3" sheetId="7" r:id="rId4"/>
    <sheet name="Основной 2.4" sheetId="9" r:id="rId5"/>
    <sheet name="Основной 2.5" sheetId="10" r:id="rId6"/>
  </sheets>
  <definedNames>
    <definedName name="_xlnm._FilterDatabase" localSheetId="1" hidden="1">'Основной 2.1'!$A$1:$K$21</definedName>
    <definedName name="_xlnm._FilterDatabase" localSheetId="2" hidden="1">'Основной 2.2'!$A$1:$K$21</definedName>
    <definedName name="_xlnm._FilterDatabase" localSheetId="3" hidden="1">'Основной 2.3'!$K$1:$K$21</definedName>
    <definedName name="_xlnm._FilterDatabase" localSheetId="4" hidden="1">'Основной 2.4'!$A$4:$K$24</definedName>
    <definedName name="_xlnm._FilterDatabase" localSheetId="5" hidden="1">'Основной 2.5'!$A$18:$K$38</definedName>
    <definedName name="_xlnm.Criteria" localSheetId="4">'Основной 2.4'!$A$1:$K$2</definedName>
    <definedName name="_xlnm.Criteria" localSheetId="5">'Основной 2.5'!$A$1:$K$2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0" l="1"/>
  <c r="D6" i="10"/>
  <c r="D7" i="10"/>
  <c r="D8" i="10"/>
  <c r="D9" i="10"/>
  <c r="D10" i="10"/>
  <c r="D11" i="10"/>
  <c r="D12" i="10"/>
  <c r="D13" i="10"/>
  <c r="D14" i="10"/>
  <c r="D15" i="10"/>
  <c r="D16" i="10"/>
  <c r="J38" i="10"/>
  <c r="I38" i="10"/>
  <c r="J37" i="10"/>
  <c r="I37" i="10"/>
  <c r="J36" i="10"/>
  <c r="I36" i="10"/>
  <c r="J35" i="10"/>
  <c r="I35" i="10"/>
  <c r="J34" i="10"/>
  <c r="I34" i="10"/>
  <c r="J33" i="10"/>
  <c r="I33" i="10"/>
  <c r="J32" i="10"/>
  <c r="I32" i="10"/>
  <c r="J31" i="10"/>
  <c r="I31" i="10"/>
  <c r="J30" i="10"/>
  <c r="I30" i="10"/>
  <c r="J29" i="10"/>
  <c r="I29" i="10"/>
  <c r="J28" i="10"/>
  <c r="I28" i="10"/>
  <c r="J27" i="10"/>
  <c r="I27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20" i="10"/>
  <c r="I20" i="10"/>
  <c r="J19" i="10"/>
  <c r="I19" i="10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J4" i="6"/>
  <c r="I4" i="6"/>
  <c r="J18" i="6"/>
  <c r="I18" i="6"/>
  <c r="J13" i="6"/>
  <c r="I13" i="6"/>
  <c r="J2" i="6"/>
  <c r="I2" i="6"/>
  <c r="J14" i="6"/>
  <c r="I14" i="6"/>
  <c r="J6" i="6"/>
  <c r="I6" i="6"/>
  <c r="J16" i="6"/>
  <c r="I16" i="6"/>
  <c r="J15" i="6"/>
  <c r="I15" i="6"/>
  <c r="J8" i="6"/>
  <c r="I8" i="6"/>
  <c r="J11" i="6"/>
  <c r="I11" i="6"/>
  <c r="J5" i="6"/>
  <c r="I5" i="6"/>
  <c r="J3" i="6"/>
  <c r="I3" i="6"/>
  <c r="J21" i="6"/>
  <c r="I21" i="6"/>
  <c r="J20" i="6"/>
  <c r="I20" i="6"/>
  <c r="J9" i="6"/>
  <c r="I9" i="6"/>
  <c r="J10" i="6"/>
  <c r="I10" i="6"/>
  <c r="J7" i="6"/>
  <c r="I7" i="6"/>
  <c r="J17" i="6"/>
  <c r="I17" i="6"/>
  <c r="J12" i="6"/>
  <c r="I12" i="6"/>
  <c r="J19" i="6"/>
  <c r="I19" i="6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<sst xmlns="http://schemas.openxmlformats.org/spreadsheetml/2006/main" count="467" uniqueCount="78">
  <si>
    <t>№</t>
  </si>
  <si>
    <t>Отдел</t>
  </si>
  <si>
    <t>Наименование товара</t>
  </si>
  <si>
    <t>Единицы измерения</t>
  </si>
  <si>
    <t>Цена Прихода</t>
  </si>
  <si>
    <t>Количество прихода</t>
  </si>
  <si>
    <t>Цена расхода</t>
  </si>
  <si>
    <t>Количетсво расхода</t>
  </si>
  <si>
    <t>Количество остатка</t>
  </si>
  <si>
    <t>Доход</t>
  </si>
  <si>
    <t>Дата поступления</t>
  </si>
  <si>
    <t>Кондитерский</t>
  </si>
  <si>
    <t>Зефир в шоколода</t>
  </si>
  <si>
    <t>упак.</t>
  </si>
  <si>
    <t>Молочный</t>
  </si>
  <si>
    <t>Молоко</t>
  </si>
  <si>
    <t>л</t>
  </si>
  <si>
    <t>Мясной</t>
  </si>
  <si>
    <t>Колбаса докторская</t>
  </si>
  <si>
    <t>кг.</t>
  </si>
  <si>
    <t>Сосиски</t>
  </si>
  <si>
    <t>Вино - водочный</t>
  </si>
  <si>
    <t>Пепси-кола</t>
  </si>
  <si>
    <t>бут. 1л.</t>
  </si>
  <si>
    <t>Пряники шоколадные</t>
  </si>
  <si>
    <t>1 кг.</t>
  </si>
  <si>
    <t>Бакалея</t>
  </si>
  <si>
    <t>Булочка венская</t>
  </si>
  <si>
    <t>шт.</t>
  </si>
  <si>
    <t>Фрукты и овощи</t>
  </si>
  <si>
    <t>Хлебобулочный</t>
  </si>
  <si>
    <t>Замороженные продукты</t>
  </si>
  <si>
    <t>Рыбный</t>
  </si>
  <si>
    <t>Чай и кофе</t>
  </si>
  <si>
    <t>Зоотовары</t>
  </si>
  <si>
    <t>Бытовая химия</t>
  </si>
  <si>
    <t>Бананы</t>
  </si>
  <si>
    <t>кг</t>
  </si>
  <si>
    <t>Хлеб Дарницкий</t>
  </si>
  <si>
    <t>шт</t>
  </si>
  <si>
    <t>Гастрономия</t>
  </si>
  <si>
    <t>Сыр Гауда</t>
  </si>
  <si>
    <t>Пельмени Сибирские</t>
  </si>
  <si>
    <t>уп. 500г</t>
  </si>
  <si>
    <t>Сельдь солёная</t>
  </si>
  <si>
    <t>Кофе Jacobs растворимый</t>
  </si>
  <si>
    <t>бан. 95г</t>
  </si>
  <si>
    <t>Корм Whiskas для кошек</t>
  </si>
  <si>
    <t>уп. 400г</t>
  </si>
  <si>
    <t>Стиральный порошок Tide</t>
  </si>
  <si>
    <t>уп. 3кг</t>
  </si>
  <si>
    <t>Отдел кулинарии</t>
  </si>
  <si>
    <t>Кура-гриль</t>
  </si>
  <si>
    <t>Диетический</t>
  </si>
  <si>
    <t>Хлебцы ржаные</t>
  </si>
  <si>
    <t>уп. 150г</t>
  </si>
  <si>
    <t>Мармелад жевательный</t>
  </si>
  <si>
    <t>уп. 200г</t>
  </si>
  <si>
    <t>Кефир 2,5%</t>
  </si>
  <si>
    <t>Фарш свиной</t>
  </si>
  <si>
    <t>&gt;=25</t>
  </si>
  <si>
    <t>&gt;01.04.2024</t>
  </si>
  <si>
    <t>К</t>
  </si>
  <si>
    <t>М</t>
  </si>
  <si>
    <t>В</t>
  </si>
  <si>
    <t>Б</t>
  </si>
  <si>
    <t>Ф</t>
  </si>
  <si>
    <t>Х</t>
  </si>
  <si>
    <t>Г</t>
  </si>
  <si>
    <t>З</t>
  </si>
  <si>
    <t>Р</t>
  </si>
  <si>
    <t>Ч</t>
  </si>
  <si>
    <t>О</t>
  </si>
  <si>
    <t>Д</t>
  </si>
  <si>
    <t>м</t>
  </si>
  <si>
    <t>1+F33A5:K38</t>
  </si>
  <si>
    <t>Буква</t>
  </si>
  <si>
    <t>Кол-во отделов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</si>
</sst>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6" formatCode="_-* #,##0.00\ &quot;₽&quot;_-;\-* #,##0.00\ &quot;₽&quot;_-;_-* &quot;-&quot;??\ &quot;₽&quot;_-;_-@_-"/>
    <numFmt numFmtId="168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0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left" vertical="center"/>
    </xf>
    <xf numFmtId="44" fontId="2" fillId="0" borderId="1" xfId="1" applyNumberFormat="1" applyFont="1" applyBorder="1" applyAlignment="1">
      <alignment horizontal="left" vertical="center"/>
    </xf>
    <xf numFmtId="44" fontId="5" fillId="0" borderId="1" xfId="0" applyNumberFormat="1" applyFont="1" applyBorder="1" applyAlignment="1">
      <alignment horizontal="left" vertical="center"/>
    </xf>
    <xf numFmtId="44" fontId="2" fillId="0" borderId="1" xfId="0" applyNumberFormat="1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Денежный 2" xfId="1" xr:uid="{CBCD5AA7-AE50-4DDE-B529-CA7E04570E9D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J29" sqref="J29"/>
    </sheetView>
  </sheetViews>
  <sheetFormatPr defaultRowHeight="15" x14ac:dyDescent="0.25"/>
  <cols>
    <col min="1" max="1" width="4.42578125" bestFit="1" customWidth="1"/>
    <col min="2" max="2" width="38.85546875" bestFit="1" customWidth="1"/>
    <col min="3" max="3" width="38" customWidth="1"/>
    <col min="4" max="4" width="21.85546875" customWidth="1"/>
    <col min="5" max="5" width="13.85546875" customWidth="1"/>
    <col min="6" max="6" width="18.42578125" customWidth="1"/>
    <col min="7" max="7" width="18.42578125" bestFit="1" customWidth="1"/>
    <col min="8" max="8" width="17.7109375" customWidth="1"/>
    <col min="9" max="9" width="17.5703125" customWidth="1"/>
    <col min="10" max="10" width="18.140625" customWidth="1"/>
    <col min="11" max="11" width="24.28515625" bestFit="1" customWidth="1"/>
  </cols>
  <sheetData>
    <row r="1" spans="1:11" ht="38.25" thickBo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9.5" thickBot="1" x14ac:dyDescent="0.3">
      <c r="A2" s="3">
        <v>1</v>
      </c>
      <c r="B2" s="3" t="s">
        <v>11</v>
      </c>
      <c r="C2" s="3" t="s">
        <v>12</v>
      </c>
      <c r="D2" s="3" t="s">
        <v>13</v>
      </c>
      <c r="E2" s="14">
        <v>102</v>
      </c>
      <c r="F2" s="8">
        <v>15</v>
      </c>
      <c r="G2" s="12">
        <v>114.99</v>
      </c>
      <c r="H2" s="3">
        <v>15</v>
      </c>
      <c r="I2" s="8">
        <f>F2-H2</f>
        <v>0</v>
      </c>
      <c r="J2" s="7">
        <f>G2-E2</f>
        <v>12.989999999999995</v>
      </c>
      <c r="K2" s="11">
        <v>45306</v>
      </c>
    </row>
    <row r="3" spans="1:11" ht="19.5" thickBot="1" x14ac:dyDescent="0.3">
      <c r="A3" s="3">
        <v>2</v>
      </c>
      <c r="B3" s="3" t="s">
        <v>14</v>
      </c>
      <c r="C3" s="3" t="s">
        <v>15</v>
      </c>
      <c r="D3" s="3" t="s">
        <v>16</v>
      </c>
      <c r="E3" s="14">
        <v>80</v>
      </c>
      <c r="F3" s="8">
        <v>32</v>
      </c>
      <c r="G3" s="12">
        <v>91</v>
      </c>
      <c r="H3" s="3">
        <v>30</v>
      </c>
      <c r="I3" s="8">
        <f t="shared" ref="I3:I21" si="0">F3-H3</f>
        <v>2</v>
      </c>
      <c r="J3" s="7">
        <f t="shared" ref="J3:J21" si="1">G3-E3</f>
        <v>11</v>
      </c>
      <c r="K3" s="11">
        <v>45344</v>
      </c>
    </row>
    <row r="4" spans="1:11" ht="19.5" thickBot="1" x14ac:dyDescent="0.3">
      <c r="A4" s="3">
        <v>3</v>
      </c>
      <c r="B4" s="3" t="s">
        <v>17</v>
      </c>
      <c r="C4" s="3" t="s">
        <v>18</v>
      </c>
      <c r="D4" s="3" t="s">
        <v>19</v>
      </c>
      <c r="E4" s="14">
        <v>365</v>
      </c>
      <c r="F4" s="8">
        <v>40</v>
      </c>
      <c r="G4" s="12">
        <v>451.2</v>
      </c>
      <c r="H4" s="3">
        <v>36</v>
      </c>
      <c r="I4" s="8">
        <f t="shared" si="0"/>
        <v>4</v>
      </c>
      <c r="J4" s="7">
        <f t="shared" si="1"/>
        <v>86.199999999999989</v>
      </c>
      <c r="K4" s="11">
        <v>45356</v>
      </c>
    </row>
    <row r="5" spans="1:11" ht="19.5" thickBot="1" x14ac:dyDescent="0.3">
      <c r="A5" s="3">
        <v>4</v>
      </c>
      <c r="B5" s="3" t="s">
        <v>17</v>
      </c>
      <c r="C5" s="3" t="s">
        <v>20</v>
      </c>
      <c r="D5" s="3" t="s">
        <v>13</v>
      </c>
      <c r="E5" s="14">
        <v>199</v>
      </c>
      <c r="F5" s="8">
        <v>12</v>
      </c>
      <c r="G5" s="12">
        <v>245.5</v>
      </c>
      <c r="H5" s="3">
        <v>12</v>
      </c>
      <c r="I5" s="8">
        <f t="shared" si="0"/>
        <v>0</v>
      </c>
      <c r="J5" s="7">
        <f t="shared" si="1"/>
        <v>46.5</v>
      </c>
      <c r="K5" s="11">
        <v>45400</v>
      </c>
    </row>
    <row r="6" spans="1:11" ht="19.5" thickBot="1" x14ac:dyDescent="0.3">
      <c r="A6" s="3">
        <v>5</v>
      </c>
      <c r="B6" s="3" t="s">
        <v>21</v>
      </c>
      <c r="C6" s="3" t="s">
        <v>22</v>
      </c>
      <c r="D6" s="3" t="s">
        <v>23</v>
      </c>
      <c r="E6" s="14">
        <v>69</v>
      </c>
      <c r="F6" s="8">
        <v>32</v>
      </c>
      <c r="G6" s="12">
        <v>89.9</v>
      </c>
      <c r="H6" s="3">
        <v>11</v>
      </c>
      <c r="I6" s="8">
        <f t="shared" si="0"/>
        <v>21</v>
      </c>
      <c r="J6" s="7">
        <f t="shared" si="1"/>
        <v>20.900000000000006</v>
      </c>
      <c r="K6" s="11">
        <v>45439</v>
      </c>
    </row>
    <row r="7" spans="1:11" ht="19.5" thickBot="1" x14ac:dyDescent="0.3">
      <c r="A7" s="3">
        <v>6</v>
      </c>
      <c r="B7" s="3" t="s">
        <v>11</v>
      </c>
      <c r="C7" s="3" t="s">
        <v>24</v>
      </c>
      <c r="D7" s="3" t="s">
        <v>25</v>
      </c>
      <c r="E7" s="14">
        <v>125</v>
      </c>
      <c r="F7" s="8">
        <v>24</v>
      </c>
      <c r="G7" s="12">
        <v>155.9</v>
      </c>
      <c r="H7" s="3">
        <v>20</v>
      </c>
      <c r="I7" s="8">
        <f t="shared" si="0"/>
        <v>4</v>
      </c>
      <c r="J7" s="7">
        <f t="shared" si="1"/>
        <v>30.900000000000006</v>
      </c>
      <c r="K7" s="11">
        <v>45453</v>
      </c>
    </row>
    <row r="8" spans="1:11" ht="19.5" thickBot="1" x14ac:dyDescent="0.3">
      <c r="A8" s="3">
        <v>7</v>
      </c>
      <c r="B8" s="6" t="s">
        <v>26</v>
      </c>
      <c r="C8" s="3" t="s">
        <v>27</v>
      </c>
      <c r="D8" s="3" t="s">
        <v>28</v>
      </c>
      <c r="E8" s="14">
        <v>65</v>
      </c>
      <c r="F8" s="8">
        <v>37</v>
      </c>
      <c r="G8" s="12">
        <v>77.989999999999995</v>
      </c>
      <c r="H8" s="3">
        <v>34</v>
      </c>
      <c r="I8" s="8">
        <f t="shared" si="0"/>
        <v>3</v>
      </c>
      <c r="J8" s="7">
        <f t="shared" si="1"/>
        <v>12.989999999999995</v>
      </c>
      <c r="K8" s="11">
        <v>45494</v>
      </c>
    </row>
    <row r="9" spans="1:11" ht="19.5" thickBot="1" x14ac:dyDescent="0.3">
      <c r="A9" s="3">
        <v>8</v>
      </c>
      <c r="B9" s="9" t="s">
        <v>29</v>
      </c>
      <c r="C9" s="3" t="s">
        <v>36</v>
      </c>
      <c r="D9" s="3" t="s">
        <v>37</v>
      </c>
      <c r="E9" s="14">
        <v>89</v>
      </c>
      <c r="F9" s="8">
        <v>50</v>
      </c>
      <c r="G9" s="12">
        <v>129</v>
      </c>
      <c r="H9" s="8">
        <v>45</v>
      </c>
      <c r="I9" s="8">
        <f t="shared" si="0"/>
        <v>5</v>
      </c>
      <c r="J9" s="7">
        <f t="shared" si="1"/>
        <v>40</v>
      </c>
      <c r="K9" s="11">
        <v>45518</v>
      </c>
    </row>
    <row r="10" spans="1:11" ht="19.5" thickBot="1" x14ac:dyDescent="0.3">
      <c r="A10" s="3">
        <v>9</v>
      </c>
      <c r="B10" s="9" t="s">
        <v>30</v>
      </c>
      <c r="C10" s="3" t="s">
        <v>38</v>
      </c>
      <c r="D10" s="3" t="s">
        <v>39</v>
      </c>
      <c r="E10" s="14">
        <v>47</v>
      </c>
      <c r="F10" s="8">
        <v>60</v>
      </c>
      <c r="G10" s="12">
        <v>55</v>
      </c>
      <c r="H10" s="8">
        <v>58</v>
      </c>
      <c r="I10" s="8">
        <f t="shared" si="0"/>
        <v>2</v>
      </c>
      <c r="J10" s="7">
        <f t="shared" si="1"/>
        <v>8</v>
      </c>
      <c r="K10" s="11">
        <v>45538</v>
      </c>
    </row>
    <row r="11" spans="1:11" ht="19.5" thickBot="1" x14ac:dyDescent="0.3">
      <c r="A11" s="3">
        <v>10</v>
      </c>
      <c r="B11" s="9" t="s">
        <v>40</v>
      </c>
      <c r="C11" s="3" t="s">
        <v>41</v>
      </c>
      <c r="D11" s="3" t="s">
        <v>37</v>
      </c>
      <c r="E11" s="14">
        <v>780</v>
      </c>
      <c r="F11" s="8">
        <v>8</v>
      </c>
      <c r="G11" s="12">
        <v>950</v>
      </c>
      <c r="H11" s="8">
        <v>7</v>
      </c>
      <c r="I11" s="8">
        <f t="shared" si="0"/>
        <v>1</v>
      </c>
      <c r="J11" s="7">
        <f t="shared" si="1"/>
        <v>170</v>
      </c>
      <c r="K11" s="11">
        <v>45590</v>
      </c>
    </row>
    <row r="12" spans="1:11" ht="19.5" thickBot="1" x14ac:dyDescent="0.3">
      <c r="A12" s="3">
        <v>11</v>
      </c>
      <c r="B12" s="9" t="s">
        <v>31</v>
      </c>
      <c r="C12" s="3" t="s">
        <v>42</v>
      </c>
      <c r="D12" s="3" t="s">
        <v>43</v>
      </c>
      <c r="E12" s="14">
        <v>210</v>
      </c>
      <c r="F12" s="8">
        <v>25</v>
      </c>
      <c r="G12" s="12">
        <v>289</v>
      </c>
      <c r="H12" s="8">
        <v>22</v>
      </c>
      <c r="I12" s="8">
        <f t="shared" si="0"/>
        <v>3</v>
      </c>
      <c r="J12" s="7">
        <f t="shared" si="1"/>
        <v>79</v>
      </c>
      <c r="K12" s="11">
        <v>45608</v>
      </c>
    </row>
    <row r="13" spans="1:11" ht="19.5" thickBot="1" x14ac:dyDescent="0.3">
      <c r="A13" s="3">
        <v>12</v>
      </c>
      <c r="B13" s="9" t="s">
        <v>32</v>
      </c>
      <c r="C13" s="3" t="s">
        <v>44</v>
      </c>
      <c r="D13" s="3" t="s">
        <v>37</v>
      </c>
      <c r="E13" s="14">
        <v>320</v>
      </c>
      <c r="F13" s="8">
        <v>15</v>
      </c>
      <c r="G13" s="12">
        <v>399</v>
      </c>
      <c r="H13" s="8">
        <v>12</v>
      </c>
      <c r="I13" s="8">
        <f t="shared" si="0"/>
        <v>3</v>
      </c>
      <c r="J13" s="7">
        <f t="shared" si="1"/>
        <v>79</v>
      </c>
      <c r="K13" s="11">
        <v>45656</v>
      </c>
    </row>
    <row r="14" spans="1:11" ht="19.5" thickBot="1" x14ac:dyDescent="0.3">
      <c r="A14" s="3">
        <v>13</v>
      </c>
      <c r="B14" s="9" t="s">
        <v>33</v>
      </c>
      <c r="C14" s="3" t="s">
        <v>45</v>
      </c>
      <c r="D14" s="3" t="s">
        <v>46</v>
      </c>
      <c r="E14" s="14">
        <v>450</v>
      </c>
      <c r="F14" s="8">
        <v>18</v>
      </c>
      <c r="G14" s="12">
        <v>550</v>
      </c>
      <c r="H14" s="8">
        <v>16</v>
      </c>
      <c r="I14" s="8">
        <f t="shared" si="0"/>
        <v>2</v>
      </c>
      <c r="J14" s="7">
        <f t="shared" si="1"/>
        <v>100</v>
      </c>
      <c r="K14" s="11">
        <v>45306</v>
      </c>
    </row>
    <row r="15" spans="1:11" ht="19.5" thickBot="1" x14ac:dyDescent="0.3">
      <c r="A15" s="3">
        <v>14</v>
      </c>
      <c r="B15" s="9" t="s">
        <v>34</v>
      </c>
      <c r="C15" s="3" t="s">
        <v>47</v>
      </c>
      <c r="D15" s="3" t="s">
        <v>48</v>
      </c>
      <c r="E15" s="14">
        <v>185</v>
      </c>
      <c r="F15" s="8">
        <v>30</v>
      </c>
      <c r="G15" s="12">
        <v>240</v>
      </c>
      <c r="H15" s="8">
        <v>28</v>
      </c>
      <c r="I15" s="8">
        <f t="shared" si="0"/>
        <v>2</v>
      </c>
      <c r="J15" s="7">
        <f t="shared" si="1"/>
        <v>55</v>
      </c>
      <c r="K15" s="11">
        <v>45344</v>
      </c>
    </row>
    <row r="16" spans="1:11" ht="19.5" thickBot="1" x14ac:dyDescent="0.3">
      <c r="A16" s="3">
        <v>15</v>
      </c>
      <c r="B16" s="9" t="s">
        <v>35</v>
      </c>
      <c r="C16" s="3" t="s">
        <v>49</v>
      </c>
      <c r="D16" s="3" t="s">
        <v>50</v>
      </c>
      <c r="E16" s="14">
        <v>620</v>
      </c>
      <c r="F16" s="8">
        <v>12</v>
      </c>
      <c r="G16" s="12">
        <v>750</v>
      </c>
      <c r="H16" s="8">
        <v>10</v>
      </c>
      <c r="I16" s="8">
        <f t="shared" si="0"/>
        <v>2</v>
      </c>
      <c r="J16" s="7">
        <f t="shared" si="1"/>
        <v>130</v>
      </c>
      <c r="K16" s="11">
        <v>45356</v>
      </c>
    </row>
    <row r="17" spans="1:11" ht="19.5" thickBot="1" x14ac:dyDescent="0.3">
      <c r="A17" s="3">
        <v>16</v>
      </c>
      <c r="B17" s="9" t="s">
        <v>51</v>
      </c>
      <c r="C17" s="3" t="s">
        <v>52</v>
      </c>
      <c r="D17" s="3" t="s">
        <v>39</v>
      </c>
      <c r="E17" s="14">
        <v>220</v>
      </c>
      <c r="F17" s="8">
        <v>14</v>
      </c>
      <c r="G17" s="12">
        <v>290</v>
      </c>
      <c r="H17" s="8">
        <v>13</v>
      </c>
      <c r="I17" s="8">
        <f t="shared" si="0"/>
        <v>1</v>
      </c>
      <c r="J17" s="7">
        <f t="shared" si="1"/>
        <v>70</v>
      </c>
      <c r="K17" s="11">
        <v>45400</v>
      </c>
    </row>
    <row r="18" spans="1:11" ht="19.5" thickBot="1" x14ac:dyDescent="0.3">
      <c r="A18" s="10">
        <v>17</v>
      </c>
      <c r="B18" s="10" t="s">
        <v>53</v>
      </c>
      <c r="C18" s="10" t="s">
        <v>54</v>
      </c>
      <c r="D18" s="10" t="s">
        <v>55</v>
      </c>
      <c r="E18" s="13">
        <v>95</v>
      </c>
      <c r="F18" s="10">
        <v>40</v>
      </c>
      <c r="G18" s="13">
        <v>120</v>
      </c>
      <c r="H18" s="10">
        <v>38</v>
      </c>
      <c r="I18" s="8">
        <f t="shared" si="0"/>
        <v>2</v>
      </c>
      <c r="J18" s="7">
        <f t="shared" si="1"/>
        <v>25</v>
      </c>
      <c r="K18" s="11">
        <v>45439</v>
      </c>
    </row>
    <row r="19" spans="1:11" ht="19.5" thickBot="1" x14ac:dyDescent="0.3">
      <c r="A19" s="10">
        <v>18</v>
      </c>
      <c r="B19" s="10" t="s">
        <v>11</v>
      </c>
      <c r="C19" s="10" t="s">
        <v>56</v>
      </c>
      <c r="D19" s="10" t="s">
        <v>57</v>
      </c>
      <c r="E19" s="13">
        <v>86</v>
      </c>
      <c r="F19" s="10">
        <v>35</v>
      </c>
      <c r="G19" s="13">
        <v>115</v>
      </c>
      <c r="H19" s="10">
        <v>32</v>
      </c>
      <c r="I19" s="8">
        <f t="shared" si="0"/>
        <v>3</v>
      </c>
      <c r="J19" s="7">
        <f t="shared" si="1"/>
        <v>29</v>
      </c>
      <c r="K19" s="11">
        <v>45453</v>
      </c>
    </row>
    <row r="20" spans="1:11" ht="19.5" thickBot="1" x14ac:dyDescent="0.3">
      <c r="A20" s="10">
        <v>19</v>
      </c>
      <c r="B20" s="10" t="s">
        <v>14</v>
      </c>
      <c r="C20" s="10" t="s">
        <v>58</v>
      </c>
      <c r="D20" s="10" t="s">
        <v>16</v>
      </c>
      <c r="E20" s="13">
        <v>92</v>
      </c>
      <c r="F20" s="10">
        <v>40</v>
      </c>
      <c r="G20" s="13">
        <v>110</v>
      </c>
      <c r="H20" s="10">
        <v>36</v>
      </c>
      <c r="I20" s="8">
        <f t="shared" si="0"/>
        <v>4</v>
      </c>
      <c r="J20" s="7">
        <f t="shared" si="1"/>
        <v>18</v>
      </c>
      <c r="K20" s="11">
        <v>45494</v>
      </c>
    </row>
    <row r="21" spans="1:11" ht="19.5" thickBot="1" x14ac:dyDescent="0.3">
      <c r="A21" s="10">
        <v>20</v>
      </c>
      <c r="B21" s="10" t="s">
        <v>17</v>
      </c>
      <c r="C21" s="10" t="s">
        <v>59</v>
      </c>
      <c r="D21" s="10" t="s">
        <v>37</v>
      </c>
      <c r="E21" s="13">
        <v>440</v>
      </c>
      <c r="F21" s="10">
        <v>20</v>
      </c>
      <c r="G21" s="13">
        <v>520</v>
      </c>
      <c r="H21" s="10">
        <v>18</v>
      </c>
      <c r="I21" s="8">
        <f t="shared" si="0"/>
        <v>2</v>
      </c>
      <c r="J21" s="7">
        <f t="shared" si="1"/>
        <v>80</v>
      </c>
      <c r="K21" s="11">
        <v>45518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F359-E920-4BC8-A34B-CACB345C9117}">
  <sheetPr filterMode="1"/>
  <dimension ref="A1:K21"/>
  <sheetViews>
    <sheetView workbookViewId="0">
      <selection activeCell="B1" sqref="B1"/>
    </sheetView>
  </sheetViews>
  <sheetFormatPr defaultRowHeight="15" x14ac:dyDescent="0.25"/>
  <cols>
    <col min="1" max="1" width="4.42578125" style="1" bestFit="1" customWidth="1"/>
    <col min="2" max="2" width="38.85546875" style="1" bestFit="1" customWidth="1"/>
    <col min="3" max="3" width="38" style="1" customWidth="1"/>
    <col min="4" max="4" width="21.85546875" style="1" customWidth="1"/>
    <col min="5" max="5" width="13.85546875" style="1" customWidth="1"/>
    <col min="6" max="6" width="18.42578125" style="1" customWidth="1"/>
    <col min="7" max="7" width="18.42578125" style="1" bestFit="1" customWidth="1"/>
    <col min="8" max="8" width="17.7109375" style="1" customWidth="1"/>
    <col min="9" max="9" width="17.5703125" style="1" customWidth="1"/>
    <col min="10" max="10" width="18.140625" style="1" customWidth="1"/>
    <col min="11" max="11" width="24.28515625" style="1" bestFit="1" customWidth="1"/>
    <col min="12" max="16384" width="9.140625" style="1"/>
  </cols>
  <sheetData>
    <row r="1" spans="1:11" ht="38.25" thickBo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9.5" thickBot="1" x14ac:dyDescent="0.3">
      <c r="A2" s="3">
        <v>1</v>
      </c>
      <c r="B2" s="3" t="s">
        <v>11</v>
      </c>
      <c r="C2" s="3" t="s">
        <v>12</v>
      </c>
      <c r="D2" s="3" t="s">
        <v>13</v>
      </c>
      <c r="E2" s="14">
        <v>102</v>
      </c>
      <c r="F2" s="8">
        <v>15</v>
      </c>
      <c r="G2" s="12">
        <v>114.99</v>
      </c>
      <c r="H2" s="3">
        <v>15</v>
      </c>
      <c r="I2" s="8">
        <f>F2-H2</f>
        <v>0</v>
      </c>
      <c r="J2" s="7">
        <f>G2-E2</f>
        <v>12.989999999999995</v>
      </c>
      <c r="K2" s="11">
        <v>45306</v>
      </c>
    </row>
    <row r="3" spans="1:11" ht="19.5" hidden="1" thickBot="1" x14ac:dyDescent="0.3">
      <c r="A3" s="3">
        <v>2</v>
      </c>
      <c r="B3" s="3" t="s">
        <v>14</v>
      </c>
      <c r="C3" s="3" t="s">
        <v>15</v>
      </c>
      <c r="D3" s="3" t="s">
        <v>16</v>
      </c>
      <c r="E3" s="14">
        <v>80</v>
      </c>
      <c r="F3" s="8">
        <v>32</v>
      </c>
      <c r="G3" s="12">
        <v>91</v>
      </c>
      <c r="H3" s="3">
        <v>30</v>
      </c>
      <c r="I3" s="8">
        <f>F3-H3</f>
        <v>2</v>
      </c>
      <c r="J3" s="7">
        <f>G3-E3</f>
        <v>11</v>
      </c>
      <c r="K3" s="11">
        <v>45344</v>
      </c>
    </row>
    <row r="4" spans="1:11" ht="19.5" hidden="1" thickBot="1" x14ac:dyDescent="0.3">
      <c r="A4" s="3">
        <v>3</v>
      </c>
      <c r="B4" s="3" t="s">
        <v>17</v>
      </c>
      <c r="C4" s="3" t="s">
        <v>18</v>
      </c>
      <c r="D4" s="3" t="s">
        <v>19</v>
      </c>
      <c r="E4" s="14">
        <v>365</v>
      </c>
      <c r="F4" s="8">
        <v>40</v>
      </c>
      <c r="G4" s="12">
        <v>451.2</v>
      </c>
      <c r="H4" s="3">
        <v>36</v>
      </c>
      <c r="I4" s="8">
        <f>F4-H4</f>
        <v>4</v>
      </c>
      <c r="J4" s="7">
        <f>G4-E4</f>
        <v>86.199999999999989</v>
      </c>
      <c r="K4" s="11">
        <v>45356</v>
      </c>
    </row>
    <row r="5" spans="1:11" ht="19.5" thickBot="1" x14ac:dyDescent="0.3">
      <c r="A5" s="3">
        <v>4</v>
      </c>
      <c r="B5" s="3" t="s">
        <v>17</v>
      </c>
      <c r="C5" s="3" t="s">
        <v>20</v>
      </c>
      <c r="D5" s="3" t="s">
        <v>13</v>
      </c>
      <c r="E5" s="14">
        <v>199</v>
      </c>
      <c r="F5" s="8">
        <v>12</v>
      </c>
      <c r="G5" s="12">
        <v>245.5</v>
      </c>
      <c r="H5" s="3">
        <v>12</v>
      </c>
      <c r="I5" s="8">
        <f>F5-H5</f>
        <v>0</v>
      </c>
      <c r="J5" s="7">
        <f>G5-E5</f>
        <v>46.5</v>
      </c>
      <c r="K5" s="11">
        <v>45400</v>
      </c>
    </row>
    <row r="6" spans="1:11" ht="19.5" hidden="1" thickBot="1" x14ac:dyDescent="0.3">
      <c r="A6" s="3">
        <v>5</v>
      </c>
      <c r="B6" s="3" t="s">
        <v>21</v>
      </c>
      <c r="C6" s="3" t="s">
        <v>22</v>
      </c>
      <c r="D6" s="3" t="s">
        <v>23</v>
      </c>
      <c r="E6" s="14">
        <v>69</v>
      </c>
      <c r="F6" s="8">
        <v>32</v>
      </c>
      <c r="G6" s="12">
        <v>89.9</v>
      </c>
      <c r="H6" s="3">
        <v>11</v>
      </c>
      <c r="I6" s="8">
        <f t="shared" ref="I3:I21" si="0">F6-H6</f>
        <v>21</v>
      </c>
      <c r="J6" s="7">
        <f t="shared" ref="J3:J21" si="1">G6-E6</f>
        <v>20.900000000000006</v>
      </c>
      <c r="K6" s="11">
        <v>45439</v>
      </c>
    </row>
    <row r="7" spans="1:11" ht="19.5" hidden="1" thickBot="1" x14ac:dyDescent="0.3">
      <c r="A7" s="3">
        <v>6</v>
      </c>
      <c r="B7" s="3" t="s">
        <v>11</v>
      </c>
      <c r="C7" s="3" t="s">
        <v>24</v>
      </c>
      <c r="D7" s="3" t="s">
        <v>25</v>
      </c>
      <c r="E7" s="14">
        <v>125</v>
      </c>
      <c r="F7" s="8">
        <v>24</v>
      </c>
      <c r="G7" s="12">
        <v>155.9</v>
      </c>
      <c r="H7" s="3">
        <v>20</v>
      </c>
      <c r="I7" s="8">
        <f t="shared" si="0"/>
        <v>4</v>
      </c>
      <c r="J7" s="7">
        <f t="shared" si="1"/>
        <v>30.900000000000006</v>
      </c>
      <c r="K7" s="11">
        <v>45453</v>
      </c>
    </row>
    <row r="8" spans="1:11" ht="19.5" hidden="1" thickBot="1" x14ac:dyDescent="0.3">
      <c r="A8" s="3">
        <v>7</v>
      </c>
      <c r="B8" s="6" t="s">
        <v>26</v>
      </c>
      <c r="C8" s="3" t="s">
        <v>27</v>
      </c>
      <c r="D8" s="3" t="s">
        <v>28</v>
      </c>
      <c r="E8" s="14">
        <v>65</v>
      </c>
      <c r="F8" s="8">
        <v>37</v>
      </c>
      <c r="G8" s="12">
        <v>77.989999999999995</v>
      </c>
      <c r="H8" s="3">
        <v>34</v>
      </c>
      <c r="I8" s="8">
        <f t="shared" si="0"/>
        <v>3</v>
      </c>
      <c r="J8" s="7">
        <f t="shared" si="1"/>
        <v>12.989999999999995</v>
      </c>
      <c r="K8" s="11">
        <v>45494</v>
      </c>
    </row>
    <row r="9" spans="1:11" ht="19.5" hidden="1" thickBot="1" x14ac:dyDescent="0.3">
      <c r="A9" s="3">
        <v>8</v>
      </c>
      <c r="B9" s="9" t="s">
        <v>29</v>
      </c>
      <c r="C9" s="3" t="s">
        <v>36</v>
      </c>
      <c r="D9" s="3" t="s">
        <v>37</v>
      </c>
      <c r="E9" s="14">
        <v>89</v>
      </c>
      <c r="F9" s="8">
        <v>50</v>
      </c>
      <c r="G9" s="12">
        <v>129</v>
      </c>
      <c r="H9" s="8">
        <v>45</v>
      </c>
      <c r="I9" s="8">
        <f t="shared" si="0"/>
        <v>5</v>
      </c>
      <c r="J9" s="7">
        <f t="shared" si="1"/>
        <v>40</v>
      </c>
      <c r="K9" s="11">
        <v>45518</v>
      </c>
    </row>
    <row r="10" spans="1:11" ht="19.5" hidden="1" thickBot="1" x14ac:dyDescent="0.3">
      <c r="A10" s="3">
        <v>9</v>
      </c>
      <c r="B10" s="9" t="s">
        <v>30</v>
      </c>
      <c r="C10" s="3" t="s">
        <v>38</v>
      </c>
      <c r="D10" s="3" t="s">
        <v>39</v>
      </c>
      <c r="E10" s="14">
        <v>47</v>
      </c>
      <c r="F10" s="8">
        <v>60</v>
      </c>
      <c r="G10" s="12">
        <v>55</v>
      </c>
      <c r="H10" s="8">
        <v>58</v>
      </c>
      <c r="I10" s="8">
        <f t="shared" si="0"/>
        <v>2</v>
      </c>
      <c r="J10" s="7">
        <f t="shared" si="1"/>
        <v>8</v>
      </c>
      <c r="K10" s="11">
        <v>45538</v>
      </c>
    </row>
    <row r="11" spans="1:11" ht="19.5" hidden="1" thickBot="1" x14ac:dyDescent="0.3">
      <c r="A11" s="3">
        <v>10</v>
      </c>
      <c r="B11" s="9" t="s">
        <v>40</v>
      </c>
      <c r="C11" s="3" t="s">
        <v>41</v>
      </c>
      <c r="D11" s="3" t="s">
        <v>37</v>
      </c>
      <c r="E11" s="14">
        <v>780</v>
      </c>
      <c r="F11" s="8">
        <v>8</v>
      </c>
      <c r="G11" s="12">
        <v>950</v>
      </c>
      <c r="H11" s="8">
        <v>7</v>
      </c>
      <c r="I11" s="8">
        <f t="shared" si="0"/>
        <v>1</v>
      </c>
      <c r="J11" s="7">
        <f t="shared" si="1"/>
        <v>170</v>
      </c>
      <c r="K11" s="11">
        <v>45590</v>
      </c>
    </row>
    <row r="12" spans="1:11" ht="19.5" hidden="1" thickBot="1" x14ac:dyDescent="0.3">
      <c r="A12" s="3">
        <v>11</v>
      </c>
      <c r="B12" s="9" t="s">
        <v>31</v>
      </c>
      <c r="C12" s="3" t="s">
        <v>42</v>
      </c>
      <c r="D12" s="3" t="s">
        <v>43</v>
      </c>
      <c r="E12" s="14">
        <v>210</v>
      </c>
      <c r="F12" s="8">
        <v>25</v>
      </c>
      <c r="G12" s="12">
        <v>289</v>
      </c>
      <c r="H12" s="8">
        <v>22</v>
      </c>
      <c r="I12" s="8">
        <f t="shared" si="0"/>
        <v>3</v>
      </c>
      <c r="J12" s="7">
        <f t="shared" si="1"/>
        <v>79</v>
      </c>
      <c r="K12" s="11">
        <v>45608</v>
      </c>
    </row>
    <row r="13" spans="1:11" ht="19.5" hidden="1" thickBot="1" x14ac:dyDescent="0.3">
      <c r="A13" s="3">
        <v>12</v>
      </c>
      <c r="B13" s="9" t="s">
        <v>32</v>
      </c>
      <c r="C13" s="3" t="s">
        <v>44</v>
      </c>
      <c r="D13" s="3" t="s">
        <v>37</v>
      </c>
      <c r="E13" s="14">
        <v>320</v>
      </c>
      <c r="F13" s="8">
        <v>15</v>
      </c>
      <c r="G13" s="12">
        <v>399</v>
      </c>
      <c r="H13" s="8">
        <v>12</v>
      </c>
      <c r="I13" s="8">
        <f t="shared" si="0"/>
        <v>3</v>
      </c>
      <c r="J13" s="7">
        <f t="shared" si="1"/>
        <v>79</v>
      </c>
      <c r="K13" s="11">
        <v>45656</v>
      </c>
    </row>
    <row r="14" spans="1:11" ht="19.5" hidden="1" thickBot="1" x14ac:dyDescent="0.3">
      <c r="A14" s="3">
        <v>13</v>
      </c>
      <c r="B14" s="9" t="s">
        <v>33</v>
      </c>
      <c r="C14" s="3" t="s">
        <v>45</v>
      </c>
      <c r="D14" s="3" t="s">
        <v>46</v>
      </c>
      <c r="E14" s="14">
        <v>450</v>
      </c>
      <c r="F14" s="8">
        <v>18</v>
      </c>
      <c r="G14" s="12">
        <v>550</v>
      </c>
      <c r="H14" s="8">
        <v>16</v>
      </c>
      <c r="I14" s="8">
        <f t="shared" si="0"/>
        <v>2</v>
      </c>
      <c r="J14" s="7">
        <f t="shared" si="1"/>
        <v>100</v>
      </c>
      <c r="K14" s="11">
        <v>45306</v>
      </c>
    </row>
    <row r="15" spans="1:11" ht="19.5" hidden="1" thickBot="1" x14ac:dyDescent="0.3">
      <c r="A15" s="3">
        <v>14</v>
      </c>
      <c r="B15" s="9" t="s">
        <v>34</v>
      </c>
      <c r="C15" s="3" t="s">
        <v>47</v>
      </c>
      <c r="D15" s="3" t="s">
        <v>48</v>
      </c>
      <c r="E15" s="14">
        <v>185</v>
      </c>
      <c r="F15" s="8">
        <v>30</v>
      </c>
      <c r="G15" s="12">
        <v>240</v>
      </c>
      <c r="H15" s="8">
        <v>28</v>
      </c>
      <c r="I15" s="8">
        <f t="shared" si="0"/>
        <v>2</v>
      </c>
      <c r="J15" s="7">
        <f t="shared" si="1"/>
        <v>55</v>
      </c>
      <c r="K15" s="11">
        <v>45344</v>
      </c>
    </row>
    <row r="16" spans="1:11" ht="19.5" hidden="1" thickBot="1" x14ac:dyDescent="0.3">
      <c r="A16" s="3">
        <v>15</v>
      </c>
      <c r="B16" s="9" t="s">
        <v>35</v>
      </c>
      <c r="C16" s="3" t="s">
        <v>49</v>
      </c>
      <c r="D16" s="3" t="s">
        <v>50</v>
      </c>
      <c r="E16" s="14">
        <v>620</v>
      </c>
      <c r="F16" s="8">
        <v>12</v>
      </c>
      <c r="G16" s="12">
        <v>750</v>
      </c>
      <c r="H16" s="8">
        <v>10</v>
      </c>
      <c r="I16" s="8">
        <f t="shared" si="0"/>
        <v>2</v>
      </c>
      <c r="J16" s="7">
        <f t="shared" si="1"/>
        <v>130</v>
      </c>
      <c r="K16" s="11">
        <v>45356</v>
      </c>
    </row>
    <row r="17" spans="1:11" ht="19.5" hidden="1" thickBot="1" x14ac:dyDescent="0.3">
      <c r="A17" s="3">
        <v>16</v>
      </c>
      <c r="B17" s="9" t="s">
        <v>51</v>
      </c>
      <c r="C17" s="3" t="s">
        <v>52</v>
      </c>
      <c r="D17" s="3" t="s">
        <v>39</v>
      </c>
      <c r="E17" s="14">
        <v>220</v>
      </c>
      <c r="F17" s="8">
        <v>14</v>
      </c>
      <c r="G17" s="12">
        <v>290</v>
      </c>
      <c r="H17" s="8">
        <v>13</v>
      </c>
      <c r="I17" s="8">
        <f t="shared" si="0"/>
        <v>1</v>
      </c>
      <c r="J17" s="7">
        <f t="shared" si="1"/>
        <v>70</v>
      </c>
      <c r="K17" s="11">
        <v>45400</v>
      </c>
    </row>
    <row r="18" spans="1:11" ht="19.5" hidden="1" thickBot="1" x14ac:dyDescent="0.3">
      <c r="A18" s="10">
        <v>17</v>
      </c>
      <c r="B18" s="10" t="s">
        <v>53</v>
      </c>
      <c r="C18" s="10" t="s">
        <v>54</v>
      </c>
      <c r="D18" s="10" t="s">
        <v>55</v>
      </c>
      <c r="E18" s="13">
        <v>95</v>
      </c>
      <c r="F18" s="10">
        <v>40</v>
      </c>
      <c r="G18" s="13">
        <v>120</v>
      </c>
      <c r="H18" s="10">
        <v>38</v>
      </c>
      <c r="I18" s="8">
        <f t="shared" si="0"/>
        <v>2</v>
      </c>
      <c r="J18" s="7">
        <f t="shared" si="1"/>
        <v>25</v>
      </c>
      <c r="K18" s="11">
        <v>45439</v>
      </c>
    </row>
    <row r="19" spans="1:11" ht="19.5" hidden="1" thickBot="1" x14ac:dyDescent="0.3">
      <c r="A19" s="10">
        <v>18</v>
      </c>
      <c r="B19" s="10" t="s">
        <v>11</v>
      </c>
      <c r="C19" s="10" t="s">
        <v>56</v>
      </c>
      <c r="D19" s="10" t="s">
        <v>57</v>
      </c>
      <c r="E19" s="13">
        <v>86</v>
      </c>
      <c r="F19" s="10">
        <v>35</v>
      </c>
      <c r="G19" s="13">
        <v>115</v>
      </c>
      <c r="H19" s="10">
        <v>32</v>
      </c>
      <c r="I19" s="8">
        <f t="shared" si="0"/>
        <v>3</v>
      </c>
      <c r="J19" s="7">
        <f t="shared" si="1"/>
        <v>29</v>
      </c>
      <c r="K19" s="11">
        <v>45453</v>
      </c>
    </row>
    <row r="20" spans="1:11" ht="19.5" hidden="1" thickBot="1" x14ac:dyDescent="0.3">
      <c r="A20" s="10">
        <v>19</v>
      </c>
      <c r="B20" s="10" t="s">
        <v>14</v>
      </c>
      <c r="C20" s="10" t="s">
        <v>58</v>
      </c>
      <c r="D20" s="10" t="s">
        <v>16</v>
      </c>
      <c r="E20" s="13">
        <v>92</v>
      </c>
      <c r="F20" s="10">
        <v>40</v>
      </c>
      <c r="G20" s="13">
        <v>110</v>
      </c>
      <c r="H20" s="10">
        <v>36</v>
      </c>
      <c r="I20" s="8">
        <f t="shared" si="0"/>
        <v>4</v>
      </c>
      <c r="J20" s="7">
        <f t="shared" si="1"/>
        <v>18</v>
      </c>
      <c r="K20" s="11">
        <v>45494</v>
      </c>
    </row>
    <row r="21" spans="1:11" ht="19.5" hidden="1" thickBot="1" x14ac:dyDescent="0.3">
      <c r="A21" s="10">
        <v>20</v>
      </c>
      <c r="B21" s="10" t="s">
        <v>17</v>
      </c>
      <c r="C21" s="10" t="s">
        <v>59</v>
      </c>
      <c r="D21" s="10" t="s">
        <v>37</v>
      </c>
      <c r="E21" s="13">
        <v>440</v>
      </c>
      <c r="F21" s="10">
        <v>20</v>
      </c>
      <c r="G21" s="13">
        <v>520</v>
      </c>
      <c r="H21" s="10">
        <v>18</v>
      </c>
      <c r="I21" s="8">
        <f t="shared" si="0"/>
        <v>2</v>
      </c>
      <c r="J21" s="7">
        <f t="shared" si="1"/>
        <v>80</v>
      </c>
      <c r="K21" s="11">
        <v>45518</v>
      </c>
    </row>
  </sheetData>
  <autoFilter ref="A1:K21" xr:uid="{8F72F359-E920-4BC8-A34B-CACB345C9117}">
    <filterColumn colId="8">
      <filters>
        <filter val="0"/>
      </filters>
    </filterColumn>
    <sortState xmlns:xlrd2="http://schemas.microsoft.com/office/spreadsheetml/2017/richdata2" ref="A2:K5">
      <sortCondition ref="B1:B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BA1A-7B29-46F4-BD35-EA5B8654946A}">
  <sheetPr filterMode="1"/>
  <dimension ref="A1:K21"/>
  <sheetViews>
    <sheetView workbookViewId="0">
      <selection activeCell="C1" sqref="C1"/>
    </sheetView>
  </sheetViews>
  <sheetFormatPr defaultRowHeight="15" x14ac:dyDescent="0.25"/>
  <cols>
    <col min="1" max="1" width="4.42578125" style="1" bestFit="1" customWidth="1"/>
    <col min="2" max="2" width="38.85546875" style="1" bestFit="1" customWidth="1"/>
    <col min="3" max="3" width="38" style="1" customWidth="1"/>
    <col min="4" max="4" width="21.85546875" style="1" customWidth="1"/>
    <col min="5" max="5" width="13.85546875" style="1" customWidth="1"/>
    <col min="6" max="6" width="18.42578125" style="1" customWidth="1"/>
    <col min="7" max="7" width="18.42578125" style="1" bestFit="1" customWidth="1"/>
    <col min="8" max="8" width="17.7109375" style="1" customWidth="1"/>
    <col min="9" max="9" width="17.5703125" style="1" customWidth="1"/>
    <col min="10" max="10" width="18.140625" style="1" customWidth="1"/>
    <col min="11" max="11" width="24.28515625" style="1" bestFit="1" customWidth="1"/>
    <col min="12" max="16384" width="9.140625" style="1"/>
  </cols>
  <sheetData>
    <row r="1" spans="1:11" ht="38.25" thickBo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9.5" thickBot="1" x14ac:dyDescent="0.3">
      <c r="A2" s="10">
        <v>17</v>
      </c>
      <c r="B2" s="10" t="s">
        <v>53</v>
      </c>
      <c r="C2" s="10" t="s">
        <v>54</v>
      </c>
      <c r="D2" s="10" t="s">
        <v>55</v>
      </c>
      <c r="E2" s="13">
        <v>95</v>
      </c>
      <c r="F2" s="10">
        <v>40</v>
      </c>
      <c r="G2" s="13">
        <v>120</v>
      </c>
      <c r="H2" s="10">
        <v>38</v>
      </c>
      <c r="I2" s="8">
        <f>F2-H2</f>
        <v>2</v>
      </c>
      <c r="J2" s="7">
        <f>G2-E2</f>
        <v>25</v>
      </c>
      <c r="K2" s="11">
        <v>45439</v>
      </c>
    </row>
    <row r="3" spans="1:11" ht="19.5" thickBot="1" x14ac:dyDescent="0.3">
      <c r="A3" s="3">
        <v>9</v>
      </c>
      <c r="B3" s="9" t="s">
        <v>30</v>
      </c>
      <c r="C3" s="3" t="s">
        <v>38</v>
      </c>
      <c r="D3" s="3" t="s">
        <v>39</v>
      </c>
      <c r="E3" s="14">
        <v>47</v>
      </c>
      <c r="F3" s="8">
        <v>60</v>
      </c>
      <c r="G3" s="12">
        <v>55</v>
      </c>
      <c r="H3" s="8">
        <v>58</v>
      </c>
      <c r="I3" s="8">
        <f>F3-H3</f>
        <v>2</v>
      </c>
      <c r="J3" s="7">
        <f>G3-E3</f>
        <v>8</v>
      </c>
      <c r="K3" s="11">
        <v>45538</v>
      </c>
    </row>
    <row r="4" spans="1:11" ht="19.5" thickBot="1" x14ac:dyDescent="0.3">
      <c r="A4" s="10">
        <v>20</v>
      </c>
      <c r="B4" s="10" t="s">
        <v>17</v>
      </c>
      <c r="C4" s="10" t="s">
        <v>59</v>
      </c>
      <c r="D4" s="10" t="s">
        <v>37</v>
      </c>
      <c r="E4" s="13">
        <v>440</v>
      </c>
      <c r="F4" s="10">
        <v>20</v>
      </c>
      <c r="G4" s="13">
        <v>520</v>
      </c>
      <c r="H4" s="10">
        <v>18</v>
      </c>
      <c r="I4" s="8">
        <f>F4-H4</f>
        <v>2</v>
      </c>
      <c r="J4" s="7">
        <f>G4-E4</f>
        <v>80</v>
      </c>
      <c r="K4" s="11">
        <v>45518</v>
      </c>
    </row>
    <row r="5" spans="1:11" ht="19.5" thickBot="1" x14ac:dyDescent="0.3">
      <c r="A5" s="3">
        <v>10</v>
      </c>
      <c r="B5" s="9" t="s">
        <v>40</v>
      </c>
      <c r="C5" s="3" t="s">
        <v>41</v>
      </c>
      <c r="D5" s="3" t="s">
        <v>37</v>
      </c>
      <c r="E5" s="14">
        <v>780</v>
      </c>
      <c r="F5" s="8">
        <v>8</v>
      </c>
      <c r="G5" s="12">
        <v>950</v>
      </c>
      <c r="H5" s="8">
        <v>7</v>
      </c>
      <c r="I5" s="8">
        <f>F5-H5</f>
        <v>1</v>
      </c>
      <c r="J5" s="7">
        <f>G5-E5</f>
        <v>170</v>
      </c>
      <c r="K5" s="11">
        <v>45590</v>
      </c>
    </row>
    <row r="6" spans="1:11" ht="19.5" thickBot="1" x14ac:dyDescent="0.3">
      <c r="A6" s="3">
        <v>15</v>
      </c>
      <c r="B6" s="9" t="s">
        <v>35</v>
      </c>
      <c r="C6" s="3" t="s">
        <v>49</v>
      </c>
      <c r="D6" s="3" t="s">
        <v>50</v>
      </c>
      <c r="E6" s="14">
        <v>620</v>
      </c>
      <c r="F6" s="8">
        <v>12</v>
      </c>
      <c r="G6" s="12">
        <v>750</v>
      </c>
      <c r="H6" s="8">
        <v>10</v>
      </c>
      <c r="I6" s="8">
        <f>F6-H6</f>
        <v>2</v>
      </c>
      <c r="J6" s="7">
        <f>G6-E6</f>
        <v>130</v>
      </c>
      <c r="K6" s="11">
        <v>45356</v>
      </c>
    </row>
    <row r="7" spans="1:11" ht="19.5" thickBot="1" x14ac:dyDescent="0.3">
      <c r="A7" s="3">
        <v>4</v>
      </c>
      <c r="B7" s="3" t="s">
        <v>17</v>
      </c>
      <c r="C7" s="3" t="s">
        <v>20</v>
      </c>
      <c r="D7" s="3" t="s">
        <v>13</v>
      </c>
      <c r="E7" s="14">
        <v>199</v>
      </c>
      <c r="F7" s="8">
        <v>12</v>
      </c>
      <c r="G7" s="12">
        <v>245.5</v>
      </c>
      <c r="H7" s="3">
        <v>12</v>
      </c>
      <c r="I7" s="8">
        <f>F7-H7</f>
        <v>0</v>
      </c>
      <c r="J7" s="7">
        <f>G7-E7</f>
        <v>46.5</v>
      </c>
      <c r="K7" s="11">
        <v>45400</v>
      </c>
    </row>
    <row r="8" spans="1:11" ht="19.5" thickBot="1" x14ac:dyDescent="0.3">
      <c r="A8" s="3">
        <v>12</v>
      </c>
      <c r="B8" s="15" t="s">
        <v>32</v>
      </c>
      <c r="C8" s="3" t="s">
        <v>44</v>
      </c>
      <c r="D8" s="3" t="s">
        <v>37</v>
      </c>
      <c r="E8" s="14">
        <v>320</v>
      </c>
      <c r="F8" s="8">
        <v>15</v>
      </c>
      <c r="G8" s="12">
        <v>399</v>
      </c>
      <c r="H8" s="8">
        <v>12</v>
      </c>
      <c r="I8" s="8">
        <f>F8-H8</f>
        <v>3</v>
      </c>
      <c r="J8" s="7">
        <f>G8-E8</f>
        <v>79</v>
      </c>
      <c r="K8" s="11">
        <v>45656</v>
      </c>
    </row>
    <row r="9" spans="1:11" ht="19.5" thickBot="1" x14ac:dyDescent="0.3">
      <c r="A9" s="3">
        <v>6</v>
      </c>
      <c r="B9" s="3" t="s">
        <v>11</v>
      </c>
      <c r="C9" s="3" t="s">
        <v>24</v>
      </c>
      <c r="D9" s="3" t="s">
        <v>25</v>
      </c>
      <c r="E9" s="14">
        <v>125</v>
      </c>
      <c r="F9" s="8">
        <v>24</v>
      </c>
      <c r="G9" s="12">
        <v>155.9</v>
      </c>
      <c r="H9" s="3">
        <v>20</v>
      </c>
      <c r="I9" s="8">
        <f>F9-H9</f>
        <v>4</v>
      </c>
      <c r="J9" s="7">
        <f>G9-E9</f>
        <v>30.900000000000006</v>
      </c>
      <c r="K9" s="11">
        <v>45453</v>
      </c>
    </row>
    <row r="10" spans="1:11" ht="19.5" thickBot="1" x14ac:dyDescent="0.3">
      <c r="A10" s="3">
        <v>5</v>
      </c>
      <c r="B10" s="3" t="s">
        <v>21</v>
      </c>
      <c r="C10" s="3" t="s">
        <v>22</v>
      </c>
      <c r="D10" s="3" t="s">
        <v>23</v>
      </c>
      <c r="E10" s="14">
        <v>69</v>
      </c>
      <c r="F10" s="8">
        <v>32</v>
      </c>
      <c r="G10" s="12">
        <v>89.9</v>
      </c>
      <c r="H10" s="3">
        <v>11</v>
      </c>
      <c r="I10" s="8">
        <f>F10-H10</f>
        <v>21</v>
      </c>
      <c r="J10" s="7">
        <f>G10-E10</f>
        <v>20.900000000000006</v>
      </c>
      <c r="K10" s="11">
        <v>45439</v>
      </c>
    </row>
    <row r="11" spans="1:11" ht="19.5" thickBot="1" x14ac:dyDescent="0.3">
      <c r="A11" s="3">
        <v>11</v>
      </c>
      <c r="B11" s="9" t="s">
        <v>31</v>
      </c>
      <c r="C11" s="3" t="s">
        <v>42</v>
      </c>
      <c r="D11" s="3" t="s">
        <v>43</v>
      </c>
      <c r="E11" s="14">
        <v>210</v>
      </c>
      <c r="F11" s="8">
        <v>25</v>
      </c>
      <c r="G11" s="12">
        <v>289</v>
      </c>
      <c r="H11" s="8">
        <v>22</v>
      </c>
      <c r="I11" s="8">
        <f>F11-H11</f>
        <v>3</v>
      </c>
      <c r="J11" s="7">
        <f>G11-E11</f>
        <v>79</v>
      </c>
      <c r="K11" s="11">
        <v>45608</v>
      </c>
    </row>
    <row r="12" spans="1:11" ht="19.5" thickBot="1" x14ac:dyDescent="0.3">
      <c r="A12" s="3">
        <v>2</v>
      </c>
      <c r="B12" s="3" t="s">
        <v>14</v>
      </c>
      <c r="C12" s="3" t="s">
        <v>15</v>
      </c>
      <c r="D12" s="3" t="s">
        <v>16</v>
      </c>
      <c r="E12" s="14">
        <v>80</v>
      </c>
      <c r="F12" s="8">
        <v>32</v>
      </c>
      <c r="G12" s="12">
        <v>91</v>
      </c>
      <c r="H12" s="3">
        <v>30</v>
      </c>
      <c r="I12" s="8">
        <f>F12-H12</f>
        <v>2</v>
      </c>
      <c r="J12" s="7">
        <f>G12-E12</f>
        <v>11</v>
      </c>
      <c r="K12" s="11">
        <v>45344</v>
      </c>
    </row>
    <row r="13" spans="1:11" ht="19.5" thickBot="1" x14ac:dyDescent="0.3">
      <c r="A13" s="10">
        <v>18</v>
      </c>
      <c r="B13" s="10" t="s">
        <v>11</v>
      </c>
      <c r="C13" s="10" t="s">
        <v>56</v>
      </c>
      <c r="D13" s="10" t="s">
        <v>57</v>
      </c>
      <c r="E13" s="13">
        <v>86</v>
      </c>
      <c r="F13" s="10">
        <v>35</v>
      </c>
      <c r="G13" s="13">
        <v>115</v>
      </c>
      <c r="H13" s="10">
        <v>32</v>
      </c>
      <c r="I13" s="8">
        <f>F13-H13</f>
        <v>3</v>
      </c>
      <c r="J13" s="7">
        <f>G13-E13</f>
        <v>29</v>
      </c>
      <c r="K13" s="11">
        <v>45453</v>
      </c>
    </row>
    <row r="14" spans="1:11" ht="19.5" thickBot="1" x14ac:dyDescent="0.3">
      <c r="A14" s="3">
        <v>16</v>
      </c>
      <c r="B14" s="9" t="s">
        <v>51</v>
      </c>
      <c r="C14" s="3" t="s">
        <v>52</v>
      </c>
      <c r="D14" s="3" t="s">
        <v>39</v>
      </c>
      <c r="E14" s="14">
        <v>220</v>
      </c>
      <c r="F14" s="8">
        <v>14</v>
      </c>
      <c r="G14" s="12">
        <v>290</v>
      </c>
      <c r="H14" s="8">
        <v>13</v>
      </c>
      <c r="I14" s="8">
        <f>F14-H14</f>
        <v>1</v>
      </c>
      <c r="J14" s="7">
        <f>G14-E14</f>
        <v>70</v>
      </c>
      <c r="K14" s="11">
        <v>45400</v>
      </c>
    </row>
    <row r="15" spans="1:11" ht="19.5" thickBot="1" x14ac:dyDescent="0.3">
      <c r="A15" s="3">
        <v>13</v>
      </c>
      <c r="B15" s="9" t="s">
        <v>33</v>
      </c>
      <c r="C15" s="3" t="s">
        <v>45</v>
      </c>
      <c r="D15" s="3" t="s">
        <v>46</v>
      </c>
      <c r="E15" s="14">
        <v>450</v>
      </c>
      <c r="F15" s="8">
        <v>18</v>
      </c>
      <c r="G15" s="12">
        <v>550</v>
      </c>
      <c r="H15" s="8">
        <v>16</v>
      </c>
      <c r="I15" s="8">
        <f>F15-H15</f>
        <v>2</v>
      </c>
      <c r="J15" s="7">
        <f>G15-E15</f>
        <v>100</v>
      </c>
      <c r="K15" s="11">
        <v>45306</v>
      </c>
    </row>
    <row r="16" spans="1:11" ht="19.5" thickBot="1" x14ac:dyDescent="0.3">
      <c r="A16" s="3">
        <v>14</v>
      </c>
      <c r="B16" s="9" t="s">
        <v>34</v>
      </c>
      <c r="C16" s="3" t="s">
        <v>47</v>
      </c>
      <c r="D16" s="3" t="s">
        <v>48</v>
      </c>
      <c r="E16" s="14">
        <v>185</v>
      </c>
      <c r="F16" s="8">
        <v>30</v>
      </c>
      <c r="G16" s="12">
        <v>240</v>
      </c>
      <c r="H16" s="8">
        <v>28</v>
      </c>
      <c r="I16" s="8">
        <f>F16-H16</f>
        <v>2</v>
      </c>
      <c r="J16" s="7">
        <f>G16-E16</f>
        <v>55</v>
      </c>
      <c r="K16" s="11">
        <v>45344</v>
      </c>
    </row>
    <row r="17" spans="1:11" ht="19.5" thickBot="1" x14ac:dyDescent="0.3">
      <c r="A17" s="3">
        <v>3</v>
      </c>
      <c r="B17" s="3" t="s">
        <v>17</v>
      </c>
      <c r="C17" s="3" t="s">
        <v>18</v>
      </c>
      <c r="D17" s="3" t="s">
        <v>19</v>
      </c>
      <c r="E17" s="14">
        <v>365</v>
      </c>
      <c r="F17" s="8">
        <v>40</v>
      </c>
      <c r="G17" s="12">
        <v>451.2</v>
      </c>
      <c r="H17" s="3">
        <v>36</v>
      </c>
      <c r="I17" s="8">
        <f>F17-H17</f>
        <v>4</v>
      </c>
      <c r="J17" s="7">
        <f>G17-E17</f>
        <v>86.199999999999989</v>
      </c>
      <c r="K17" s="11">
        <v>45356</v>
      </c>
    </row>
    <row r="18" spans="1:11" ht="19.5" thickBot="1" x14ac:dyDescent="0.3">
      <c r="A18" s="10">
        <v>19</v>
      </c>
      <c r="B18" s="10" t="s">
        <v>14</v>
      </c>
      <c r="C18" s="10" t="s">
        <v>58</v>
      </c>
      <c r="D18" s="10" t="s">
        <v>16</v>
      </c>
      <c r="E18" s="13">
        <v>92</v>
      </c>
      <c r="F18" s="10">
        <v>40</v>
      </c>
      <c r="G18" s="13">
        <v>110</v>
      </c>
      <c r="H18" s="10">
        <v>36</v>
      </c>
      <c r="I18" s="8">
        <f>F18-H18</f>
        <v>4</v>
      </c>
      <c r="J18" s="7">
        <f>G18-E18</f>
        <v>18</v>
      </c>
      <c r="K18" s="11">
        <v>45494</v>
      </c>
    </row>
    <row r="19" spans="1:11" ht="19.5" thickBot="1" x14ac:dyDescent="0.3">
      <c r="A19" s="3">
        <v>1</v>
      </c>
      <c r="B19" s="3" t="s">
        <v>11</v>
      </c>
      <c r="C19" s="3" t="s">
        <v>12</v>
      </c>
      <c r="D19" s="3" t="s">
        <v>13</v>
      </c>
      <c r="E19" s="14">
        <v>102</v>
      </c>
      <c r="F19" s="8">
        <v>15</v>
      </c>
      <c r="G19" s="12">
        <v>114.99</v>
      </c>
      <c r="H19" s="3">
        <v>15</v>
      </c>
      <c r="I19" s="8">
        <f>F19-H19</f>
        <v>0</v>
      </c>
      <c r="J19" s="7">
        <f>G19-E19</f>
        <v>12.989999999999995</v>
      </c>
      <c r="K19" s="11">
        <v>45306</v>
      </c>
    </row>
    <row r="20" spans="1:11" ht="19.5" thickBot="1" x14ac:dyDescent="0.3">
      <c r="A20" s="3">
        <v>7</v>
      </c>
      <c r="B20" s="3" t="s">
        <v>26</v>
      </c>
      <c r="C20" s="3" t="s">
        <v>27</v>
      </c>
      <c r="D20" s="3" t="s">
        <v>28</v>
      </c>
      <c r="E20" s="14">
        <v>65</v>
      </c>
      <c r="F20" s="8">
        <v>37</v>
      </c>
      <c r="G20" s="12">
        <v>77.989999999999995</v>
      </c>
      <c r="H20" s="3">
        <v>34</v>
      </c>
      <c r="I20" s="8">
        <f>F20-H20</f>
        <v>3</v>
      </c>
      <c r="J20" s="7">
        <f>G20-E20</f>
        <v>12.989999999999995</v>
      </c>
      <c r="K20" s="11">
        <v>45494</v>
      </c>
    </row>
    <row r="21" spans="1:11" ht="19.5" thickBot="1" x14ac:dyDescent="0.3">
      <c r="A21" s="3">
        <v>8</v>
      </c>
      <c r="B21" s="9" t="s">
        <v>29</v>
      </c>
      <c r="C21" s="3" t="s">
        <v>36</v>
      </c>
      <c r="D21" s="3" t="s">
        <v>37</v>
      </c>
      <c r="E21" s="14">
        <v>89</v>
      </c>
      <c r="F21" s="8">
        <v>50</v>
      </c>
      <c r="G21" s="12">
        <v>129</v>
      </c>
      <c r="H21" s="8">
        <v>45</v>
      </c>
      <c r="I21" s="8">
        <f>F21-H21</f>
        <v>5</v>
      </c>
      <c r="J21" s="7">
        <f>G21-E21</f>
        <v>40</v>
      </c>
      <c r="K21" s="11">
        <v>45518</v>
      </c>
    </row>
  </sheetData>
  <autoFilter ref="A1:K21" xr:uid="{6792BA1A-7B29-46F4-BD35-EA5B8654946A}">
    <filterColumn colId="9">
      <customFilters>
        <customFilter operator="lessThan" val="500"/>
      </customFilters>
    </filterColumn>
    <sortState xmlns:xlrd2="http://schemas.microsoft.com/office/spreadsheetml/2017/richdata2" ref="A2:K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3D66-246D-4610-A212-A760A7963DD2}">
  <sheetPr filterMode="1"/>
  <dimension ref="A1:K21"/>
  <sheetViews>
    <sheetView workbookViewId="0">
      <selection activeCell="K1" sqref="K1:K1048576"/>
    </sheetView>
  </sheetViews>
  <sheetFormatPr defaultRowHeight="15" x14ac:dyDescent="0.25"/>
  <cols>
    <col min="1" max="1" width="4.42578125" style="1" bestFit="1" customWidth="1"/>
    <col min="2" max="2" width="38.85546875" style="1" bestFit="1" customWidth="1"/>
    <col min="3" max="3" width="38" style="1" customWidth="1"/>
    <col min="4" max="4" width="21.85546875" style="1" customWidth="1"/>
    <col min="5" max="5" width="13.85546875" style="1" customWidth="1"/>
    <col min="6" max="6" width="18.42578125" style="1" customWidth="1"/>
    <col min="7" max="7" width="18.42578125" style="1" bestFit="1" customWidth="1"/>
    <col min="8" max="8" width="17.7109375" style="1" customWidth="1"/>
    <col min="9" max="9" width="17.5703125" style="1" customWidth="1"/>
    <col min="10" max="10" width="18.140625" style="1" customWidth="1"/>
    <col min="11" max="11" width="24.28515625" style="1" bestFit="1" customWidth="1"/>
    <col min="12" max="16384" width="9.140625" style="1"/>
  </cols>
  <sheetData>
    <row r="1" spans="1:11" ht="38.25" thickBo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9.5" thickBot="1" x14ac:dyDescent="0.3">
      <c r="A2" s="3">
        <v>1</v>
      </c>
      <c r="B2" s="3" t="s">
        <v>11</v>
      </c>
      <c r="C2" s="3" t="s">
        <v>12</v>
      </c>
      <c r="D2" s="3" t="s">
        <v>13</v>
      </c>
      <c r="E2" s="14">
        <v>102</v>
      </c>
      <c r="F2" s="8">
        <v>15</v>
      </c>
      <c r="G2" s="12">
        <v>114.99</v>
      </c>
      <c r="H2" s="3">
        <v>15</v>
      </c>
      <c r="I2" s="8">
        <f>F2-H2</f>
        <v>0</v>
      </c>
      <c r="J2" s="7">
        <f>G2-E2</f>
        <v>12.989999999999995</v>
      </c>
      <c r="K2" s="11">
        <v>45306</v>
      </c>
    </row>
    <row r="3" spans="1:11" ht="19.5" hidden="1" thickBot="1" x14ac:dyDescent="0.3">
      <c r="A3" s="3">
        <v>2</v>
      </c>
      <c r="B3" s="3" t="s">
        <v>14</v>
      </c>
      <c r="C3" s="3" t="s">
        <v>15</v>
      </c>
      <c r="D3" s="3" t="s">
        <v>16</v>
      </c>
      <c r="E3" s="14">
        <v>80</v>
      </c>
      <c r="F3" s="8">
        <v>32</v>
      </c>
      <c r="G3" s="12">
        <v>91</v>
      </c>
      <c r="H3" s="3">
        <v>30</v>
      </c>
      <c r="I3" s="8">
        <f t="shared" ref="I3:I21" si="0">F3-H3</f>
        <v>2</v>
      </c>
      <c r="J3" s="7">
        <f t="shared" ref="J3:J21" si="1">G3-E3</f>
        <v>11</v>
      </c>
      <c r="K3" s="11">
        <v>45344</v>
      </c>
    </row>
    <row r="4" spans="1:11" ht="19.5" hidden="1" thickBot="1" x14ac:dyDescent="0.3">
      <c r="A4" s="3">
        <v>3</v>
      </c>
      <c r="B4" s="3" t="s">
        <v>17</v>
      </c>
      <c r="C4" s="3" t="s">
        <v>18</v>
      </c>
      <c r="D4" s="3" t="s">
        <v>19</v>
      </c>
      <c r="E4" s="14">
        <v>365</v>
      </c>
      <c r="F4" s="8">
        <v>40</v>
      </c>
      <c r="G4" s="12">
        <v>451.2</v>
      </c>
      <c r="H4" s="3">
        <v>36</v>
      </c>
      <c r="I4" s="8">
        <f t="shared" si="0"/>
        <v>4</v>
      </c>
      <c r="J4" s="7">
        <f t="shared" si="1"/>
        <v>86.199999999999989</v>
      </c>
      <c r="K4" s="11">
        <v>45356</v>
      </c>
    </row>
    <row r="5" spans="1:11" ht="19.5" hidden="1" thickBot="1" x14ac:dyDescent="0.3">
      <c r="A5" s="3">
        <v>4</v>
      </c>
      <c r="B5" s="3" t="s">
        <v>17</v>
      </c>
      <c r="C5" s="3" t="s">
        <v>20</v>
      </c>
      <c r="D5" s="3" t="s">
        <v>13</v>
      </c>
      <c r="E5" s="14">
        <v>199</v>
      </c>
      <c r="F5" s="8">
        <v>12</v>
      </c>
      <c r="G5" s="12">
        <v>245.5</v>
      </c>
      <c r="H5" s="3">
        <v>12</v>
      </c>
      <c r="I5" s="8">
        <f t="shared" si="0"/>
        <v>0</v>
      </c>
      <c r="J5" s="7">
        <f t="shared" si="1"/>
        <v>46.5</v>
      </c>
      <c r="K5" s="11">
        <v>45400</v>
      </c>
    </row>
    <row r="6" spans="1:11" ht="19.5" hidden="1" thickBot="1" x14ac:dyDescent="0.3">
      <c r="A6" s="3">
        <v>5</v>
      </c>
      <c r="B6" s="3" t="s">
        <v>21</v>
      </c>
      <c r="C6" s="3" t="s">
        <v>22</v>
      </c>
      <c r="D6" s="3" t="s">
        <v>23</v>
      </c>
      <c r="E6" s="14">
        <v>69</v>
      </c>
      <c r="F6" s="8">
        <v>32</v>
      </c>
      <c r="G6" s="12">
        <v>89.9</v>
      </c>
      <c r="H6" s="3">
        <v>11</v>
      </c>
      <c r="I6" s="8">
        <f t="shared" si="0"/>
        <v>21</v>
      </c>
      <c r="J6" s="7">
        <f t="shared" si="1"/>
        <v>20.900000000000006</v>
      </c>
      <c r="K6" s="11">
        <v>45439</v>
      </c>
    </row>
    <row r="7" spans="1:11" ht="19.5" hidden="1" thickBot="1" x14ac:dyDescent="0.3">
      <c r="A7" s="3">
        <v>6</v>
      </c>
      <c r="B7" s="3" t="s">
        <v>11</v>
      </c>
      <c r="C7" s="3" t="s">
        <v>24</v>
      </c>
      <c r="D7" s="3" t="s">
        <v>25</v>
      </c>
      <c r="E7" s="14">
        <v>125</v>
      </c>
      <c r="F7" s="8">
        <v>24</v>
      </c>
      <c r="G7" s="12">
        <v>155.9</v>
      </c>
      <c r="H7" s="3">
        <v>20</v>
      </c>
      <c r="I7" s="8">
        <f t="shared" si="0"/>
        <v>4</v>
      </c>
      <c r="J7" s="7">
        <f t="shared" si="1"/>
        <v>30.900000000000006</v>
      </c>
      <c r="K7" s="11">
        <v>45453</v>
      </c>
    </row>
    <row r="8" spans="1:11" ht="19.5" hidden="1" thickBot="1" x14ac:dyDescent="0.3">
      <c r="A8" s="3">
        <v>7</v>
      </c>
      <c r="B8" s="6" t="s">
        <v>26</v>
      </c>
      <c r="C8" s="3" t="s">
        <v>27</v>
      </c>
      <c r="D8" s="3" t="s">
        <v>28</v>
      </c>
      <c r="E8" s="14">
        <v>65</v>
      </c>
      <c r="F8" s="8">
        <v>37</v>
      </c>
      <c r="G8" s="12">
        <v>77.989999999999995</v>
      </c>
      <c r="H8" s="3">
        <v>34</v>
      </c>
      <c r="I8" s="8">
        <f t="shared" si="0"/>
        <v>3</v>
      </c>
      <c r="J8" s="7">
        <f t="shared" si="1"/>
        <v>12.989999999999995</v>
      </c>
      <c r="K8" s="11">
        <v>45494</v>
      </c>
    </row>
    <row r="9" spans="1:11" ht="19.5" hidden="1" thickBot="1" x14ac:dyDescent="0.3">
      <c r="A9" s="3">
        <v>8</v>
      </c>
      <c r="B9" s="9" t="s">
        <v>29</v>
      </c>
      <c r="C9" s="3" t="s">
        <v>36</v>
      </c>
      <c r="D9" s="3" t="s">
        <v>37</v>
      </c>
      <c r="E9" s="14">
        <v>89</v>
      </c>
      <c r="F9" s="8">
        <v>50</v>
      </c>
      <c r="G9" s="12">
        <v>129</v>
      </c>
      <c r="H9" s="8">
        <v>45</v>
      </c>
      <c r="I9" s="8">
        <f t="shared" si="0"/>
        <v>5</v>
      </c>
      <c r="J9" s="7">
        <f t="shared" si="1"/>
        <v>40</v>
      </c>
      <c r="K9" s="11">
        <v>45518</v>
      </c>
    </row>
    <row r="10" spans="1:11" ht="19.5" hidden="1" thickBot="1" x14ac:dyDescent="0.3">
      <c r="A10" s="3">
        <v>9</v>
      </c>
      <c r="B10" s="9" t="s">
        <v>30</v>
      </c>
      <c r="C10" s="3" t="s">
        <v>38</v>
      </c>
      <c r="D10" s="3" t="s">
        <v>39</v>
      </c>
      <c r="E10" s="14">
        <v>47</v>
      </c>
      <c r="F10" s="8">
        <v>60</v>
      </c>
      <c r="G10" s="12">
        <v>55</v>
      </c>
      <c r="H10" s="8">
        <v>58</v>
      </c>
      <c r="I10" s="8">
        <f t="shared" si="0"/>
        <v>2</v>
      </c>
      <c r="J10" s="7">
        <f t="shared" si="1"/>
        <v>8</v>
      </c>
      <c r="K10" s="11">
        <v>45538</v>
      </c>
    </row>
    <row r="11" spans="1:11" ht="19.5" hidden="1" thickBot="1" x14ac:dyDescent="0.3">
      <c r="A11" s="3">
        <v>10</v>
      </c>
      <c r="B11" s="9" t="s">
        <v>40</v>
      </c>
      <c r="C11" s="3" t="s">
        <v>41</v>
      </c>
      <c r="D11" s="3" t="s">
        <v>37</v>
      </c>
      <c r="E11" s="14">
        <v>780</v>
      </c>
      <c r="F11" s="8">
        <v>8</v>
      </c>
      <c r="G11" s="12">
        <v>950</v>
      </c>
      <c r="H11" s="8">
        <v>7</v>
      </c>
      <c r="I11" s="8">
        <f t="shared" si="0"/>
        <v>1</v>
      </c>
      <c r="J11" s="7">
        <f t="shared" si="1"/>
        <v>170</v>
      </c>
      <c r="K11" s="11">
        <v>45590</v>
      </c>
    </row>
    <row r="12" spans="1:11" ht="19.5" hidden="1" thickBot="1" x14ac:dyDescent="0.3">
      <c r="A12" s="3">
        <v>11</v>
      </c>
      <c r="B12" s="9" t="s">
        <v>31</v>
      </c>
      <c r="C12" s="3" t="s">
        <v>42</v>
      </c>
      <c r="D12" s="3" t="s">
        <v>43</v>
      </c>
      <c r="E12" s="14">
        <v>210</v>
      </c>
      <c r="F12" s="8">
        <v>25</v>
      </c>
      <c r="G12" s="12">
        <v>289</v>
      </c>
      <c r="H12" s="8">
        <v>22</v>
      </c>
      <c r="I12" s="8">
        <f t="shared" si="0"/>
        <v>3</v>
      </c>
      <c r="J12" s="7">
        <f t="shared" si="1"/>
        <v>79</v>
      </c>
      <c r="K12" s="11">
        <v>45608</v>
      </c>
    </row>
    <row r="13" spans="1:11" ht="19.5" hidden="1" thickBot="1" x14ac:dyDescent="0.3">
      <c r="A13" s="3">
        <v>12</v>
      </c>
      <c r="B13" s="9" t="s">
        <v>32</v>
      </c>
      <c r="C13" s="3" t="s">
        <v>44</v>
      </c>
      <c r="D13" s="3" t="s">
        <v>37</v>
      </c>
      <c r="E13" s="14">
        <v>320</v>
      </c>
      <c r="F13" s="8">
        <v>15</v>
      </c>
      <c r="G13" s="12">
        <v>399</v>
      </c>
      <c r="H13" s="8">
        <v>12</v>
      </c>
      <c r="I13" s="8">
        <f t="shared" si="0"/>
        <v>3</v>
      </c>
      <c r="J13" s="7">
        <f t="shared" si="1"/>
        <v>79</v>
      </c>
      <c r="K13" s="11">
        <v>45656</v>
      </c>
    </row>
    <row r="14" spans="1:11" ht="19.5" thickBot="1" x14ac:dyDescent="0.3">
      <c r="A14" s="3">
        <v>13</v>
      </c>
      <c r="B14" s="9" t="s">
        <v>33</v>
      </c>
      <c r="C14" s="3" t="s">
        <v>45</v>
      </c>
      <c r="D14" s="3" t="s">
        <v>46</v>
      </c>
      <c r="E14" s="14">
        <v>450</v>
      </c>
      <c r="F14" s="8">
        <v>18</v>
      </c>
      <c r="G14" s="12">
        <v>550</v>
      </c>
      <c r="H14" s="8">
        <v>16</v>
      </c>
      <c r="I14" s="8">
        <f t="shared" si="0"/>
        <v>2</v>
      </c>
      <c r="J14" s="7">
        <f t="shared" si="1"/>
        <v>100</v>
      </c>
      <c r="K14" s="11">
        <v>45306</v>
      </c>
    </row>
    <row r="15" spans="1:11" ht="19.5" hidden="1" thickBot="1" x14ac:dyDescent="0.3">
      <c r="A15" s="3">
        <v>14</v>
      </c>
      <c r="B15" s="9" t="s">
        <v>34</v>
      </c>
      <c r="C15" s="3" t="s">
        <v>47</v>
      </c>
      <c r="D15" s="3" t="s">
        <v>48</v>
      </c>
      <c r="E15" s="14">
        <v>185</v>
      </c>
      <c r="F15" s="8">
        <v>30</v>
      </c>
      <c r="G15" s="12">
        <v>240</v>
      </c>
      <c r="H15" s="8">
        <v>28</v>
      </c>
      <c r="I15" s="8">
        <f t="shared" si="0"/>
        <v>2</v>
      </c>
      <c r="J15" s="7">
        <f t="shared" si="1"/>
        <v>55</v>
      </c>
      <c r="K15" s="11">
        <v>45344</v>
      </c>
    </row>
    <row r="16" spans="1:11" ht="19.5" hidden="1" thickBot="1" x14ac:dyDescent="0.3">
      <c r="A16" s="3">
        <v>15</v>
      </c>
      <c r="B16" s="9" t="s">
        <v>35</v>
      </c>
      <c r="C16" s="3" t="s">
        <v>49</v>
      </c>
      <c r="D16" s="3" t="s">
        <v>50</v>
      </c>
      <c r="E16" s="14">
        <v>620</v>
      </c>
      <c r="F16" s="8">
        <v>12</v>
      </c>
      <c r="G16" s="12">
        <v>750</v>
      </c>
      <c r="H16" s="8">
        <v>10</v>
      </c>
      <c r="I16" s="8">
        <f t="shared" si="0"/>
        <v>2</v>
      </c>
      <c r="J16" s="7">
        <f t="shared" si="1"/>
        <v>130</v>
      </c>
      <c r="K16" s="11">
        <v>45356</v>
      </c>
    </row>
    <row r="17" spans="1:11" ht="19.5" hidden="1" thickBot="1" x14ac:dyDescent="0.3">
      <c r="A17" s="3">
        <v>16</v>
      </c>
      <c r="B17" s="9" t="s">
        <v>51</v>
      </c>
      <c r="C17" s="3" t="s">
        <v>52</v>
      </c>
      <c r="D17" s="3" t="s">
        <v>39</v>
      </c>
      <c r="E17" s="14">
        <v>220</v>
      </c>
      <c r="F17" s="8">
        <v>14</v>
      </c>
      <c r="G17" s="12">
        <v>290</v>
      </c>
      <c r="H17" s="8">
        <v>13</v>
      </c>
      <c r="I17" s="8">
        <f t="shared" si="0"/>
        <v>1</v>
      </c>
      <c r="J17" s="7">
        <f t="shared" si="1"/>
        <v>70</v>
      </c>
      <c r="K17" s="11">
        <v>45400</v>
      </c>
    </row>
    <row r="18" spans="1:11" ht="19.5" hidden="1" thickBot="1" x14ac:dyDescent="0.3">
      <c r="A18" s="10">
        <v>17</v>
      </c>
      <c r="B18" s="10" t="s">
        <v>53</v>
      </c>
      <c r="C18" s="10" t="s">
        <v>54</v>
      </c>
      <c r="D18" s="10" t="s">
        <v>55</v>
      </c>
      <c r="E18" s="13">
        <v>95</v>
      </c>
      <c r="F18" s="10">
        <v>40</v>
      </c>
      <c r="G18" s="13">
        <v>120</v>
      </c>
      <c r="H18" s="10">
        <v>38</v>
      </c>
      <c r="I18" s="8">
        <f t="shared" si="0"/>
        <v>2</v>
      </c>
      <c r="J18" s="7">
        <f t="shared" si="1"/>
        <v>25</v>
      </c>
      <c r="K18" s="11">
        <v>45439</v>
      </c>
    </row>
    <row r="19" spans="1:11" ht="19.5" hidden="1" thickBot="1" x14ac:dyDescent="0.3">
      <c r="A19" s="10">
        <v>18</v>
      </c>
      <c r="B19" s="10" t="s">
        <v>11</v>
      </c>
      <c r="C19" s="10" t="s">
        <v>56</v>
      </c>
      <c r="D19" s="10" t="s">
        <v>57</v>
      </c>
      <c r="E19" s="13">
        <v>86</v>
      </c>
      <c r="F19" s="10">
        <v>35</v>
      </c>
      <c r="G19" s="13">
        <v>115</v>
      </c>
      <c r="H19" s="10">
        <v>32</v>
      </c>
      <c r="I19" s="8">
        <f t="shared" si="0"/>
        <v>3</v>
      </c>
      <c r="J19" s="7">
        <f t="shared" si="1"/>
        <v>29</v>
      </c>
      <c r="K19" s="11">
        <v>45453</v>
      </c>
    </row>
    <row r="20" spans="1:11" ht="19.5" hidden="1" thickBot="1" x14ac:dyDescent="0.3">
      <c r="A20" s="10">
        <v>19</v>
      </c>
      <c r="B20" s="10" t="s">
        <v>14</v>
      </c>
      <c r="C20" s="10" t="s">
        <v>58</v>
      </c>
      <c r="D20" s="10" t="s">
        <v>16</v>
      </c>
      <c r="E20" s="13">
        <v>92</v>
      </c>
      <c r="F20" s="10">
        <v>40</v>
      </c>
      <c r="G20" s="13">
        <v>110</v>
      </c>
      <c r="H20" s="10">
        <v>36</v>
      </c>
      <c r="I20" s="8">
        <f t="shared" si="0"/>
        <v>4</v>
      </c>
      <c r="J20" s="7">
        <f t="shared" si="1"/>
        <v>18</v>
      </c>
      <c r="K20" s="11">
        <v>45494</v>
      </c>
    </row>
    <row r="21" spans="1:11" ht="19.5" hidden="1" thickBot="1" x14ac:dyDescent="0.3">
      <c r="A21" s="10">
        <v>20</v>
      </c>
      <c r="B21" s="10" t="s">
        <v>17</v>
      </c>
      <c r="C21" s="10" t="s">
        <v>59</v>
      </c>
      <c r="D21" s="10" t="s">
        <v>37</v>
      </c>
      <c r="E21" s="13">
        <v>440</v>
      </c>
      <c r="F21" s="10">
        <v>20</v>
      </c>
      <c r="G21" s="13">
        <v>520</v>
      </c>
      <c r="H21" s="10">
        <v>18</v>
      </c>
      <c r="I21" s="8">
        <f t="shared" si="0"/>
        <v>2</v>
      </c>
      <c r="J21" s="7">
        <f t="shared" si="1"/>
        <v>80</v>
      </c>
      <c r="K21" s="11">
        <v>45518</v>
      </c>
    </row>
  </sheetData>
  <autoFilter ref="K1:K21" xr:uid="{45F43D66-246D-4610-A212-A760A7963DD2}">
    <filterColumn colId="0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7212-B395-42E5-8C2C-F1D296BA4AF8}">
  <sheetPr filterMode="1"/>
  <dimension ref="A1:O27"/>
  <sheetViews>
    <sheetView workbookViewId="0">
      <selection activeCell="E28" sqref="E28"/>
    </sheetView>
  </sheetViews>
  <sheetFormatPr defaultRowHeight="15" x14ac:dyDescent="0.25"/>
  <cols>
    <col min="1" max="1" width="4.42578125" style="1" bestFit="1" customWidth="1"/>
    <col min="2" max="2" width="38.85546875" style="1" bestFit="1" customWidth="1"/>
    <col min="3" max="3" width="38" style="1" customWidth="1"/>
    <col min="4" max="4" width="21.85546875" style="1" customWidth="1"/>
    <col min="5" max="5" width="13.85546875" style="1" customWidth="1"/>
    <col min="6" max="6" width="18.42578125" style="1" customWidth="1"/>
    <col min="7" max="7" width="18.42578125" style="1" bestFit="1" customWidth="1"/>
    <col min="8" max="9" width="22.28515625" style="1" bestFit="1" customWidth="1"/>
    <col min="10" max="10" width="25.85546875" style="1" bestFit="1" customWidth="1"/>
    <col min="11" max="11" width="24.28515625" style="1" bestFit="1" customWidth="1"/>
    <col min="12" max="12" width="9.140625" style="1"/>
    <col min="13" max="14" width="22.28515625" style="1" bestFit="1" customWidth="1"/>
    <col min="15" max="15" width="25.85546875" style="1" bestFit="1" customWidth="1"/>
    <col min="16" max="16384" width="9.140625" style="1"/>
  </cols>
  <sheetData>
    <row r="1" spans="1:15" ht="38.25" thickBo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5" ht="39" customHeight="1" thickBot="1" x14ac:dyDescent="0.3">
      <c r="A2" s="2"/>
      <c r="B2" s="2"/>
      <c r="C2" s="2"/>
      <c r="D2" s="2"/>
      <c r="E2" s="2"/>
      <c r="F2" s="2" t="s">
        <v>60</v>
      </c>
      <c r="G2" s="2"/>
      <c r="H2" s="2"/>
      <c r="I2" s="2"/>
      <c r="J2" s="2"/>
      <c r="K2" s="2" t="s">
        <v>61</v>
      </c>
    </row>
    <row r="3" spans="1:15" ht="15.75" thickBot="1" x14ac:dyDescent="0.3"/>
    <row r="4" spans="1:15" ht="38.25" thickBot="1" x14ac:dyDescent="0.3">
      <c r="A4" s="4" t="s">
        <v>0</v>
      </c>
      <c r="B4" s="4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M4" s="16"/>
      <c r="N4" s="16"/>
      <c r="O4" s="16"/>
    </row>
    <row r="5" spans="1:15" ht="19.5" hidden="1" thickBot="1" x14ac:dyDescent="0.3">
      <c r="A5" s="3">
        <v>1</v>
      </c>
      <c r="B5" s="3" t="s">
        <v>11</v>
      </c>
      <c r="C5" s="3" t="s">
        <v>12</v>
      </c>
      <c r="D5" s="3" t="s">
        <v>13</v>
      </c>
      <c r="E5" s="14">
        <v>102</v>
      </c>
      <c r="F5" s="8">
        <v>15</v>
      </c>
      <c r="G5" s="12">
        <v>114.99</v>
      </c>
      <c r="H5" s="3">
        <v>15</v>
      </c>
      <c r="I5" s="8">
        <f>F5-H5</f>
        <v>0</v>
      </c>
      <c r="J5" s="7">
        <f>G5-E5</f>
        <v>12.989999999999995</v>
      </c>
      <c r="K5" s="11">
        <v>45306</v>
      </c>
      <c r="M5" s="16"/>
      <c r="N5" s="16"/>
      <c r="O5" s="16"/>
    </row>
    <row r="6" spans="1:15" ht="19.5" hidden="1" thickBot="1" x14ac:dyDescent="0.3">
      <c r="A6" s="3">
        <v>2</v>
      </c>
      <c r="B6" s="3" t="s">
        <v>14</v>
      </c>
      <c r="C6" s="3" t="s">
        <v>15</v>
      </c>
      <c r="D6" s="3" t="s">
        <v>16</v>
      </c>
      <c r="E6" s="14">
        <v>80</v>
      </c>
      <c r="F6" s="8">
        <v>32</v>
      </c>
      <c r="G6" s="12">
        <v>91</v>
      </c>
      <c r="H6" s="3">
        <v>30</v>
      </c>
      <c r="I6" s="8">
        <f t="shared" ref="I6:I24" si="0">F6-H6</f>
        <v>2</v>
      </c>
      <c r="J6" s="7">
        <f t="shared" ref="J6:J24" si="1">G6-E6</f>
        <v>11</v>
      </c>
      <c r="K6" s="11">
        <v>45344</v>
      </c>
    </row>
    <row r="7" spans="1:15" ht="19.5" hidden="1" thickBot="1" x14ac:dyDescent="0.3">
      <c r="A7" s="3">
        <v>3</v>
      </c>
      <c r="B7" s="3" t="s">
        <v>17</v>
      </c>
      <c r="C7" s="3" t="s">
        <v>18</v>
      </c>
      <c r="D7" s="3" t="s">
        <v>19</v>
      </c>
      <c r="E7" s="14">
        <v>365</v>
      </c>
      <c r="F7" s="8">
        <v>40</v>
      </c>
      <c r="G7" s="12">
        <v>451.2</v>
      </c>
      <c r="H7" s="3">
        <v>36</v>
      </c>
      <c r="I7" s="8">
        <f t="shared" si="0"/>
        <v>4</v>
      </c>
      <c r="J7" s="7">
        <f t="shared" si="1"/>
        <v>86.199999999999989</v>
      </c>
      <c r="K7" s="11">
        <v>45356</v>
      </c>
    </row>
    <row r="8" spans="1:15" ht="19.5" hidden="1" thickBot="1" x14ac:dyDescent="0.3">
      <c r="A8" s="3">
        <v>4</v>
      </c>
      <c r="B8" s="3" t="s">
        <v>17</v>
      </c>
      <c r="C8" s="3" t="s">
        <v>20</v>
      </c>
      <c r="D8" s="3" t="s">
        <v>13</v>
      </c>
      <c r="E8" s="14">
        <v>199</v>
      </c>
      <c r="F8" s="8">
        <v>12</v>
      </c>
      <c r="G8" s="12">
        <v>245.5</v>
      </c>
      <c r="H8" s="3">
        <v>12</v>
      </c>
      <c r="I8" s="8">
        <f t="shared" si="0"/>
        <v>0</v>
      </c>
      <c r="J8" s="7">
        <f t="shared" si="1"/>
        <v>46.5</v>
      </c>
      <c r="K8" s="11">
        <v>45400</v>
      </c>
    </row>
    <row r="9" spans="1:15" ht="19.5" thickBot="1" x14ac:dyDescent="0.3">
      <c r="A9" s="3">
        <v>5</v>
      </c>
      <c r="B9" s="3" t="s">
        <v>21</v>
      </c>
      <c r="C9" s="3" t="s">
        <v>22</v>
      </c>
      <c r="D9" s="3" t="s">
        <v>23</v>
      </c>
      <c r="E9" s="14">
        <v>69</v>
      </c>
      <c r="F9" s="8">
        <v>32</v>
      </c>
      <c r="G9" s="12">
        <v>89.9</v>
      </c>
      <c r="H9" s="3">
        <v>11</v>
      </c>
      <c r="I9" s="8">
        <f t="shared" si="0"/>
        <v>21</v>
      </c>
      <c r="J9" s="7">
        <f t="shared" si="1"/>
        <v>20.900000000000006</v>
      </c>
      <c r="K9" s="11">
        <v>45439</v>
      </c>
    </row>
    <row r="10" spans="1:15" ht="19.5" hidden="1" thickBot="1" x14ac:dyDescent="0.3">
      <c r="A10" s="3">
        <v>6</v>
      </c>
      <c r="B10" s="3" t="s">
        <v>11</v>
      </c>
      <c r="C10" s="3" t="s">
        <v>24</v>
      </c>
      <c r="D10" s="3" t="s">
        <v>25</v>
      </c>
      <c r="E10" s="14">
        <v>125</v>
      </c>
      <c r="F10" s="8">
        <v>24</v>
      </c>
      <c r="G10" s="12">
        <v>155.9</v>
      </c>
      <c r="H10" s="3">
        <v>20</v>
      </c>
      <c r="I10" s="8">
        <f t="shared" si="0"/>
        <v>4</v>
      </c>
      <c r="J10" s="7">
        <f t="shared" si="1"/>
        <v>30.900000000000006</v>
      </c>
      <c r="K10" s="11">
        <v>45453</v>
      </c>
    </row>
    <row r="11" spans="1:15" ht="19.5" thickBot="1" x14ac:dyDescent="0.3">
      <c r="A11" s="3">
        <v>7</v>
      </c>
      <c r="B11" s="6" t="s">
        <v>26</v>
      </c>
      <c r="C11" s="3" t="s">
        <v>27</v>
      </c>
      <c r="D11" s="3" t="s">
        <v>28</v>
      </c>
      <c r="E11" s="14">
        <v>65</v>
      </c>
      <c r="F11" s="8">
        <v>37</v>
      </c>
      <c r="G11" s="12">
        <v>77.989999999999995</v>
      </c>
      <c r="H11" s="3">
        <v>34</v>
      </c>
      <c r="I11" s="8">
        <f t="shared" si="0"/>
        <v>3</v>
      </c>
      <c r="J11" s="7">
        <f t="shared" si="1"/>
        <v>12.989999999999995</v>
      </c>
      <c r="K11" s="11">
        <v>45494</v>
      </c>
    </row>
    <row r="12" spans="1:15" ht="19.5" thickBot="1" x14ac:dyDescent="0.3">
      <c r="A12" s="3">
        <v>8</v>
      </c>
      <c r="B12" s="9" t="s">
        <v>29</v>
      </c>
      <c r="C12" s="3" t="s">
        <v>36</v>
      </c>
      <c r="D12" s="3" t="s">
        <v>37</v>
      </c>
      <c r="E12" s="14">
        <v>89</v>
      </c>
      <c r="F12" s="8">
        <v>50</v>
      </c>
      <c r="G12" s="12">
        <v>129</v>
      </c>
      <c r="H12" s="8">
        <v>45</v>
      </c>
      <c r="I12" s="8">
        <f t="shared" si="0"/>
        <v>5</v>
      </c>
      <c r="J12" s="7">
        <f t="shared" si="1"/>
        <v>40</v>
      </c>
      <c r="K12" s="11">
        <v>45518</v>
      </c>
    </row>
    <row r="13" spans="1:15" ht="19.5" thickBot="1" x14ac:dyDescent="0.3">
      <c r="A13" s="3">
        <v>9</v>
      </c>
      <c r="B13" s="9" t="s">
        <v>30</v>
      </c>
      <c r="C13" s="3" t="s">
        <v>38</v>
      </c>
      <c r="D13" s="3" t="s">
        <v>39</v>
      </c>
      <c r="E13" s="14">
        <v>47</v>
      </c>
      <c r="F13" s="8">
        <v>60</v>
      </c>
      <c r="G13" s="12">
        <v>55</v>
      </c>
      <c r="H13" s="8">
        <v>58</v>
      </c>
      <c r="I13" s="8">
        <f t="shared" si="0"/>
        <v>2</v>
      </c>
      <c r="J13" s="7">
        <f t="shared" si="1"/>
        <v>8</v>
      </c>
      <c r="K13" s="11">
        <v>45538</v>
      </c>
    </row>
    <row r="14" spans="1:15" ht="19.5" hidden="1" thickBot="1" x14ac:dyDescent="0.3">
      <c r="A14" s="3">
        <v>10</v>
      </c>
      <c r="B14" s="9" t="s">
        <v>40</v>
      </c>
      <c r="C14" s="3" t="s">
        <v>41</v>
      </c>
      <c r="D14" s="3" t="s">
        <v>37</v>
      </c>
      <c r="E14" s="14">
        <v>780</v>
      </c>
      <c r="F14" s="8">
        <v>8</v>
      </c>
      <c r="G14" s="12">
        <v>950</v>
      </c>
      <c r="H14" s="8">
        <v>7</v>
      </c>
      <c r="I14" s="8">
        <f t="shared" si="0"/>
        <v>1</v>
      </c>
      <c r="J14" s="7">
        <f t="shared" si="1"/>
        <v>170</v>
      </c>
      <c r="K14" s="11">
        <v>45590</v>
      </c>
    </row>
    <row r="15" spans="1:15" ht="19.5" thickBot="1" x14ac:dyDescent="0.3">
      <c r="A15" s="3">
        <v>11</v>
      </c>
      <c r="B15" s="9" t="s">
        <v>31</v>
      </c>
      <c r="C15" s="3" t="s">
        <v>42</v>
      </c>
      <c r="D15" s="3" t="s">
        <v>43</v>
      </c>
      <c r="E15" s="14">
        <v>210</v>
      </c>
      <c r="F15" s="8">
        <v>25</v>
      </c>
      <c r="G15" s="12">
        <v>289</v>
      </c>
      <c r="H15" s="8">
        <v>22</v>
      </c>
      <c r="I15" s="8">
        <f t="shared" si="0"/>
        <v>3</v>
      </c>
      <c r="J15" s="7">
        <f t="shared" si="1"/>
        <v>79</v>
      </c>
      <c r="K15" s="11">
        <v>45608</v>
      </c>
    </row>
    <row r="16" spans="1:15" ht="19.5" hidden="1" thickBot="1" x14ac:dyDescent="0.3">
      <c r="A16" s="3">
        <v>12</v>
      </c>
      <c r="B16" s="9" t="s">
        <v>32</v>
      </c>
      <c r="C16" s="3" t="s">
        <v>44</v>
      </c>
      <c r="D16" s="3" t="s">
        <v>37</v>
      </c>
      <c r="E16" s="14">
        <v>320</v>
      </c>
      <c r="F16" s="8">
        <v>15</v>
      </c>
      <c r="G16" s="12">
        <v>399</v>
      </c>
      <c r="H16" s="8">
        <v>12</v>
      </c>
      <c r="I16" s="8">
        <f t="shared" si="0"/>
        <v>3</v>
      </c>
      <c r="J16" s="7">
        <f t="shared" si="1"/>
        <v>79</v>
      </c>
      <c r="K16" s="11">
        <v>45656</v>
      </c>
    </row>
    <row r="17" spans="1:11" ht="19.5" hidden="1" thickBot="1" x14ac:dyDescent="0.3">
      <c r="A17" s="3">
        <v>13</v>
      </c>
      <c r="B17" s="9" t="s">
        <v>33</v>
      </c>
      <c r="C17" s="3" t="s">
        <v>45</v>
      </c>
      <c r="D17" s="3" t="s">
        <v>46</v>
      </c>
      <c r="E17" s="14">
        <v>450</v>
      </c>
      <c r="F17" s="8">
        <v>18</v>
      </c>
      <c r="G17" s="12">
        <v>550</v>
      </c>
      <c r="H17" s="8">
        <v>16</v>
      </c>
      <c r="I17" s="8">
        <f t="shared" si="0"/>
        <v>2</v>
      </c>
      <c r="J17" s="7">
        <f t="shared" si="1"/>
        <v>100</v>
      </c>
      <c r="K17" s="11">
        <v>45306</v>
      </c>
    </row>
    <row r="18" spans="1:11" ht="19.5" hidden="1" thickBot="1" x14ac:dyDescent="0.3">
      <c r="A18" s="3">
        <v>14</v>
      </c>
      <c r="B18" s="9" t="s">
        <v>34</v>
      </c>
      <c r="C18" s="3" t="s">
        <v>47</v>
      </c>
      <c r="D18" s="3" t="s">
        <v>48</v>
      </c>
      <c r="E18" s="14">
        <v>185</v>
      </c>
      <c r="F18" s="8">
        <v>30</v>
      </c>
      <c r="G18" s="12">
        <v>240</v>
      </c>
      <c r="H18" s="8">
        <v>28</v>
      </c>
      <c r="I18" s="8">
        <f t="shared" si="0"/>
        <v>2</v>
      </c>
      <c r="J18" s="7">
        <f t="shared" si="1"/>
        <v>55</v>
      </c>
      <c r="K18" s="11">
        <v>45344</v>
      </c>
    </row>
    <row r="19" spans="1:11" ht="19.5" hidden="1" thickBot="1" x14ac:dyDescent="0.3">
      <c r="A19" s="3">
        <v>15</v>
      </c>
      <c r="B19" s="9" t="s">
        <v>35</v>
      </c>
      <c r="C19" s="3" t="s">
        <v>49</v>
      </c>
      <c r="D19" s="3" t="s">
        <v>50</v>
      </c>
      <c r="E19" s="14">
        <v>620</v>
      </c>
      <c r="F19" s="8">
        <v>12</v>
      </c>
      <c r="G19" s="12">
        <v>750</v>
      </c>
      <c r="H19" s="8">
        <v>10</v>
      </c>
      <c r="I19" s="8">
        <f t="shared" si="0"/>
        <v>2</v>
      </c>
      <c r="J19" s="7">
        <f t="shared" si="1"/>
        <v>130</v>
      </c>
      <c r="K19" s="11">
        <v>45356</v>
      </c>
    </row>
    <row r="20" spans="1:11" ht="19.5" hidden="1" thickBot="1" x14ac:dyDescent="0.3">
      <c r="A20" s="3">
        <v>16</v>
      </c>
      <c r="B20" s="9" t="s">
        <v>51</v>
      </c>
      <c r="C20" s="3" t="s">
        <v>52</v>
      </c>
      <c r="D20" s="3" t="s">
        <v>39</v>
      </c>
      <c r="E20" s="14">
        <v>220</v>
      </c>
      <c r="F20" s="8">
        <v>14</v>
      </c>
      <c r="G20" s="12">
        <v>290</v>
      </c>
      <c r="H20" s="8">
        <v>13</v>
      </c>
      <c r="I20" s="8">
        <f t="shared" si="0"/>
        <v>1</v>
      </c>
      <c r="J20" s="7">
        <f t="shared" si="1"/>
        <v>70</v>
      </c>
      <c r="K20" s="11">
        <v>45400</v>
      </c>
    </row>
    <row r="21" spans="1:11" ht="19.5" thickBot="1" x14ac:dyDescent="0.3">
      <c r="A21" s="10">
        <v>17</v>
      </c>
      <c r="B21" s="10" t="s">
        <v>53</v>
      </c>
      <c r="C21" s="10" t="s">
        <v>54</v>
      </c>
      <c r="D21" s="10" t="s">
        <v>55</v>
      </c>
      <c r="E21" s="13">
        <v>95</v>
      </c>
      <c r="F21" s="10">
        <v>40</v>
      </c>
      <c r="G21" s="13">
        <v>120</v>
      </c>
      <c r="H21" s="10">
        <v>38</v>
      </c>
      <c r="I21" s="8">
        <f t="shared" si="0"/>
        <v>2</v>
      </c>
      <c r="J21" s="7">
        <f t="shared" si="1"/>
        <v>25</v>
      </c>
      <c r="K21" s="11">
        <v>45439</v>
      </c>
    </row>
    <row r="22" spans="1:11" ht="19.5" thickBot="1" x14ac:dyDescent="0.3">
      <c r="A22" s="10">
        <v>18</v>
      </c>
      <c r="B22" s="10" t="s">
        <v>11</v>
      </c>
      <c r="C22" s="10" t="s">
        <v>56</v>
      </c>
      <c r="D22" s="10" t="s">
        <v>57</v>
      </c>
      <c r="E22" s="13">
        <v>86</v>
      </c>
      <c r="F22" s="10">
        <v>35</v>
      </c>
      <c r="G22" s="13">
        <v>115</v>
      </c>
      <c r="H22" s="10">
        <v>32</v>
      </c>
      <c r="I22" s="8">
        <f t="shared" si="0"/>
        <v>3</v>
      </c>
      <c r="J22" s="7">
        <f t="shared" si="1"/>
        <v>29</v>
      </c>
      <c r="K22" s="11">
        <v>45453</v>
      </c>
    </row>
    <row r="23" spans="1:11" ht="19.5" thickBot="1" x14ac:dyDescent="0.3">
      <c r="A23" s="10">
        <v>19</v>
      </c>
      <c r="B23" s="10" t="s">
        <v>14</v>
      </c>
      <c r="C23" s="10" t="s">
        <v>58</v>
      </c>
      <c r="D23" s="10" t="s">
        <v>16</v>
      </c>
      <c r="E23" s="13">
        <v>92</v>
      </c>
      <c r="F23" s="10">
        <v>40</v>
      </c>
      <c r="G23" s="13">
        <v>110</v>
      </c>
      <c r="H23" s="10">
        <v>36</v>
      </c>
      <c r="I23" s="8">
        <f t="shared" si="0"/>
        <v>4</v>
      </c>
      <c r="J23" s="7">
        <f t="shared" si="1"/>
        <v>18</v>
      </c>
      <c r="K23" s="11">
        <v>45494</v>
      </c>
    </row>
    <row r="24" spans="1:11" ht="19.5" hidden="1" thickBot="1" x14ac:dyDescent="0.3">
      <c r="A24" s="10">
        <v>20</v>
      </c>
      <c r="B24" s="10" t="s">
        <v>17</v>
      </c>
      <c r="C24" s="10" t="s">
        <v>59</v>
      </c>
      <c r="D24" s="10" t="s">
        <v>37</v>
      </c>
      <c r="E24" s="13">
        <v>440</v>
      </c>
      <c r="F24" s="10">
        <v>20</v>
      </c>
      <c r="G24" s="13">
        <v>520</v>
      </c>
      <c r="H24" s="10">
        <v>18</v>
      </c>
      <c r="I24" s="8">
        <f t="shared" si="0"/>
        <v>2</v>
      </c>
      <c r="J24" s="7">
        <f t="shared" si="1"/>
        <v>80</v>
      </c>
      <c r="K24" s="11">
        <v>45518</v>
      </c>
    </row>
    <row r="26" spans="1:11" ht="18.75" x14ac:dyDescent="0.25">
      <c r="H26" s="16"/>
      <c r="I26" s="16"/>
      <c r="J26" s="16"/>
    </row>
    <row r="27" spans="1:11" ht="18.75" x14ac:dyDescent="0.25">
      <c r="H27" s="16"/>
      <c r="I27" s="16"/>
      <c r="J27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24A4-1A8C-4F4E-A704-3F15CF2F9977}">
  <sheetPr filterMode="1"/>
  <dimension ref="A1:K62"/>
  <sheetViews>
    <sheetView tabSelected="1" workbookViewId="0">
      <selection activeCell="F12" sqref="F12"/>
    </sheetView>
  </sheetViews>
  <sheetFormatPr defaultRowHeight="15" x14ac:dyDescent="0.25"/>
  <cols>
    <col min="1" max="1" width="4.42578125" style="1" bestFit="1" customWidth="1"/>
    <col min="2" max="2" width="38.85546875" style="1" bestFit="1" customWidth="1"/>
    <col min="3" max="3" width="38" style="1" customWidth="1"/>
    <col min="4" max="4" width="21.85546875" style="1" customWidth="1"/>
    <col min="5" max="5" width="31.5703125" style="1" customWidth="1"/>
    <col min="6" max="6" width="18.42578125" style="1" customWidth="1"/>
    <col min="7" max="7" width="18.42578125" style="1" bestFit="1" customWidth="1"/>
    <col min="8" max="8" width="17.7109375" style="1" customWidth="1"/>
    <col min="9" max="9" width="17.5703125" style="1" customWidth="1"/>
    <col min="10" max="10" width="18.140625" style="1" customWidth="1"/>
    <col min="11" max="11" width="24.28515625" style="1" bestFit="1" customWidth="1"/>
    <col min="12" max="16384" width="9.140625" style="1"/>
  </cols>
  <sheetData>
    <row r="1" spans="1:11" ht="38.25" thickBot="1" x14ac:dyDescent="0.3">
      <c r="A1" s="4" t="s">
        <v>0</v>
      </c>
      <c r="B1" s="26" t="s">
        <v>1</v>
      </c>
      <c r="C1" s="26" t="s">
        <v>2</v>
      </c>
      <c r="D1" s="2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29.25" customHeight="1" thickBot="1" x14ac:dyDescent="0.3">
      <c r="A2" s="2"/>
      <c r="B2" s="2" t="s">
        <v>74</v>
      </c>
      <c r="C2" s="2"/>
      <c r="D2" s="2"/>
      <c r="E2" s="2"/>
      <c r="F2" s="2">
        <v>12</v>
      </c>
      <c r="G2" s="2"/>
      <c r="H2" s="2"/>
      <c r="I2" s="2"/>
      <c r="J2" s="2"/>
      <c r="K2" s="2"/>
    </row>
    <row r="3" spans="1:11" ht="29.25" customHeight="1" thickBo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29.25" customHeight="1" thickBot="1" x14ac:dyDescent="0.3">
      <c r="A4" s="16"/>
      <c r="B4" s="19" t="s">
        <v>0</v>
      </c>
      <c r="C4" s="20" t="s">
        <v>76</v>
      </c>
      <c r="D4" s="2" t="s">
        <v>77</v>
      </c>
      <c r="E4" s="16"/>
      <c r="F4" s="16"/>
      <c r="G4" s="16"/>
      <c r="H4" s="16"/>
      <c r="I4" s="16"/>
      <c r="J4" s="16"/>
      <c r="K4" s="16"/>
    </row>
    <row r="5" spans="1:11" ht="29.25" customHeight="1" thickBot="1" x14ac:dyDescent="0.3">
      <c r="A5" s="16"/>
      <c r="B5" s="24">
        <v>1</v>
      </c>
      <c r="C5" s="25" t="s">
        <v>62</v>
      </c>
      <c r="D5" s="24">
        <f>COUNTIF($B$19:$B$38,"К*")</f>
        <v>3</v>
      </c>
      <c r="E5" s="16"/>
      <c r="F5" s="16"/>
      <c r="G5" s="16"/>
      <c r="H5" s="16"/>
      <c r="I5" s="16"/>
      <c r="J5" s="16"/>
      <c r="K5" s="16"/>
    </row>
    <row r="6" spans="1:11" ht="29.25" customHeight="1" thickBot="1" x14ac:dyDescent="0.3">
      <c r="A6" s="16"/>
      <c r="B6" s="19">
        <v>2</v>
      </c>
      <c r="C6" s="20" t="s">
        <v>63</v>
      </c>
      <c r="D6" s="2">
        <f>COUNTIF($B$19:$B$38,"М*")</f>
        <v>5</v>
      </c>
      <c r="E6" s="16"/>
      <c r="F6" s="16"/>
      <c r="G6" s="16"/>
      <c r="H6" s="16"/>
      <c r="I6" s="16"/>
      <c r="J6" s="16"/>
      <c r="K6" s="16"/>
    </row>
    <row r="7" spans="1:11" ht="29.25" customHeight="1" thickBot="1" x14ac:dyDescent="0.3">
      <c r="A7" s="16"/>
      <c r="B7" s="19">
        <v>3</v>
      </c>
      <c r="C7" s="20" t="s">
        <v>64</v>
      </c>
      <c r="D7" s="19">
        <f>COUNTIF($B$19:$B$38,"В*")</f>
        <v>1</v>
      </c>
      <c r="E7" s="16"/>
      <c r="F7" s="16"/>
      <c r="G7" s="16"/>
      <c r="H7" s="16"/>
      <c r="I7" s="16"/>
      <c r="J7" s="16"/>
      <c r="K7" s="16"/>
    </row>
    <row r="8" spans="1:11" ht="29.25" customHeight="1" thickBot="1" x14ac:dyDescent="0.3">
      <c r="A8" s="16"/>
      <c r="B8" s="19">
        <v>4</v>
      </c>
      <c r="C8" s="20" t="s">
        <v>65</v>
      </c>
      <c r="D8" s="19">
        <f>COUNTIF($B$19:$B$38,"Б*")</f>
        <v>2</v>
      </c>
      <c r="E8" s="16"/>
      <c r="F8" s="16"/>
      <c r="G8" s="16"/>
      <c r="H8" s="16"/>
      <c r="I8" s="16"/>
      <c r="J8" s="16"/>
      <c r="K8" s="16"/>
    </row>
    <row r="9" spans="1:11" ht="29.25" customHeight="1" thickBot="1" x14ac:dyDescent="0.3">
      <c r="A9" s="16"/>
      <c r="B9" s="19">
        <v>5</v>
      </c>
      <c r="C9" s="20" t="s">
        <v>66</v>
      </c>
      <c r="D9" s="19">
        <f>COUNTIF($B$19:$B$38,"Ф*")</f>
        <v>1</v>
      </c>
      <c r="E9" s="16"/>
      <c r="F9" s="16"/>
      <c r="G9" s="16"/>
      <c r="H9" s="16"/>
      <c r="I9" s="16"/>
      <c r="J9" s="16"/>
      <c r="K9" s="16"/>
    </row>
    <row r="10" spans="1:11" ht="29.25" customHeight="1" thickBot="1" x14ac:dyDescent="0.3">
      <c r="A10" s="16"/>
      <c r="B10" s="19">
        <v>6</v>
      </c>
      <c r="C10" s="20" t="s">
        <v>67</v>
      </c>
      <c r="D10" s="19">
        <f>COUNTIF($B$19:$B$38,"Х*")</f>
        <v>1</v>
      </c>
      <c r="E10" s="16"/>
      <c r="F10" s="16"/>
      <c r="G10" s="16"/>
      <c r="H10" s="16"/>
      <c r="I10" s="16"/>
      <c r="J10" s="16"/>
      <c r="K10" s="16"/>
    </row>
    <row r="11" spans="1:11" ht="29.25" customHeight="1" thickBot="1" x14ac:dyDescent="0.3">
      <c r="A11" s="16"/>
      <c r="B11" s="19">
        <v>7</v>
      </c>
      <c r="C11" s="20" t="s">
        <v>68</v>
      </c>
      <c r="D11" s="19">
        <f>COUNTIF($B$19:$B$38,"Г*")</f>
        <v>1</v>
      </c>
      <c r="E11" s="16"/>
      <c r="F11" s="16"/>
      <c r="G11" s="16"/>
      <c r="H11" s="16"/>
      <c r="I11" s="16"/>
      <c r="J11" s="16"/>
      <c r="K11" s="16"/>
    </row>
    <row r="12" spans="1:11" ht="29.25" customHeight="1" thickBot="1" x14ac:dyDescent="0.3">
      <c r="A12" s="16"/>
      <c r="B12" s="19">
        <v>8</v>
      </c>
      <c r="C12" s="20" t="s">
        <v>69</v>
      </c>
      <c r="D12" s="19">
        <f>COUNTIF($B$19:$B$38,"З*")</f>
        <v>2</v>
      </c>
      <c r="E12" s="16"/>
      <c r="F12" s="16"/>
      <c r="G12" s="16"/>
      <c r="H12" s="16"/>
      <c r="I12" s="16"/>
      <c r="J12" s="16"/>
      <c r="K12" s="16"/>
    </row>
    <row r="13" spans="1:11" ht="29.25" customHeight="1" thickBot="1" x14ac:dyDescent="0.3">
      <c r="A13" s="16"/>
      <c r="B13" s="19">
        <v>9</v>
      </c>
      <c r="C13" s="20" t="s">
        <v>70</v>
      </c>
      <c r="D13" s="19">
        <f>COUNTIF($B$19:$B$38,"Р*")</f>
        <v>1</v>
      </c>
      <c r="E13" s="16"/>
      <c r="F13" s="16"/>
      <c r="G13" s="16"/>
      <c r="H13" s="16"/>
      <c r="I13" s="16"/>
      <c r="J13" s="16"/>
      <c r="K13" s="16"/>
    </row>
    <row r="14" spans="1:11" ht="29.25" customHeight="1" thickBot="1" x14ac:dyDescent="0.3">
      <c r="A14" s="16"/>
      <c r="B14" s="19">
        <v>10</v>
      </c>
      <c r="C14" s="20" t="s">
        <v>71</v>
      </c>
      <c r="D14" s="19">
        <f>COUNTIF($B$19:$B$38,"Ч*")</f>
        <v>1</v>
      </c>
      <c r="E14" s="16"/>
      <c r="F14" s="16"/>
      <c r="G14" s="16"/>
      <c r="H14" s="16"/>
      <c r="I14" s="16"/>
      <c r="J14" s="16"/>
      <c r="K14" s="16"/>
    </row>
    <row r="15" spans="1:11" ht="29.25" customHeight="1" thickBot="1" x14ac:dyDescent="0.3">
      <c r="A15" s="16"/>
      <c r="B15" s="19">
        <v>11</v>
      </c>
      <c r="C15" s="20" t="s">
        <v>72</v>
      </c>
      <c r="D15" s="19">
        <f>COUNTIF($B$19:$B$38,"О*")</f>
        <v>1</v>
      </c>
      <c r="E15" s="16"/>
      <c r="F15" s="16"/>
      <c r="G15" s="16"/>
      <c r="H15" s="16"/>
      <c r="I15" s="16"/>
      <c r="J15" s="16"/>
      <c r="K15" s="16"/>
    </row>
    <row r="16" spans="1:11" ht="19.5" thickBot="1" x14ac:dyDescent="0.3">
      <c r="B16" s="19">
        <v>12</v>
      </c>
      <c r="C16" s="20" t="s">
        <v>73</v>
      </c>
      <c r="D16" s="19">
        <f>COUNTIF($B$19:$B$38,"Д*")</f>
        <v>1</v>
      </c>
    </row>
    <row r="17" spans="1:11" ht="19.5" thickBot="1" x14ac:dyDescent="0.3">
      <c r="B17" s="22"/>
      <c r="C17" s="23"/>
      <c r="D17" s="22"/>
    </row>
    <row r="18" spans="1:11" ht="38.25" thickBot="1" x14ac:dyDescent="0.3">
      <c r="A18" s="4" t="s">
        <v>0</v>
      </c>
      <c r="B18" s="4" t="s">
        <v>1</v>
      </c>
      <c r="C18" s="4" t="s">
        <v>2</v>
      </c>
      <c r="D18" s="5" t="s">
        <v>3</v>
      </c>
      <c r="E18" s="5" t="s">
        <v>4</v>
      </c>
      <c r="F18" s="5" t="s">
        <v>5</v>
      </c>
      <c r="G18" s="5" t="s">
        <v>6</v>
      </c>
      <c r="H18" s="5" t="s">
        <v>7</v>
      </c>
      <c r="I18" s="5" t="s">
        <v>8</v>
      </c>
      <c r="J18" s="5" t="s">
        <v>9</v>
      </c>
      <c r="K18" s="5" t="s">
        <v>10</v>
      </c>
    </row>
    <row r="19" spans="1:11" ht="19.5" hidden="1" thickBot="1" x14ac:dyDescent="0.3">
      <c r="A19" s="3" t="s">
        <v>75</v>
      </c>
      <c r="B19" s="3" t="s">
        <v>11</v>
      </c>
      <c r="C19" s="3" t="s">
        <v>12</v>
      </c>
      <c r="D19" s="3" t="s">
        <v>13</v>
      </c>
      <c r="E19" s="14">
        <v>102</v>
      </c>
      <c r="F19" s="8">
        <v>15</v>
      </c>
      <c r="G19" s="12">
        <v>114.99</v>
      </c>
      <c r="H19" s="3">
        <v>15</v>
      </c>
      <c r="I19" s="8">
        <f>F19-H19</f>
        <v>0</v>
      </c>
      <c r="J19" s="7">
        <f>G19-E19</f>
        <v>12.989999999999995</v>
      </c>
      <c r="K19" s="11">
        <v>45306</v>
      </c>
    </row>
    <row r="20" spans="1:11" ht="19.5" hidden="1" thickBot="1" x14ac:dyDescent="0.3">
      <c r="A20" s="3">
        <v>2</v>
      </c>
      <c r="B20" s="3" t="s">
        <v>14</v>
      </c>
      <c r="C20" s="3" t="s">
        <v>15</v>
      </c>
      <c r="D20" s="3" t="s">
        <v>16</v>
      </c>
      <c r="E20" s="14">
        <v>80</v>
      </c>
      <c r="F20" s="8">
        <v>32</v>
      </c>
      <c r="G20" s="12">
        <v>91</v>
      </c>
      <c r="H20" s="3">
        <v>30</v>
      </c>
      <c r="I20" s="8">
        <f t="shared" ref="I20:I38" si="0">F20-H20</f>
        <v>2</v>
      </c>
      <c r="J20" s="7">
        <f t="shared" ref="J20:J38" si="1">G20-E20</f>
        <v>11</v>
      </c>
      <c r="K20" s="11">
        <v>45344</v>
      </c>
    </row>
    <row r="21" spans="1:11" ht="19.5" hidden="1" thickBot="1" x14ac:dyDescent="0.3">
      <c r="A21" s="3">
        <v>3</v>
      </c>
      <c r="B21" s="3" t="s">
        <v>17</v>
      </c>
      <c r="C21" s="3" t="s">
        <v>18</v>
      </c>
      <c r="D21" s="3" t="s">
        <v>19</v>
      </c>
      <c r="E21" s="14">
        <v>365</v>
      </c>
      <c r="F21" s="8">
        <v>40</v>
      </c>
      <c r="G21" s="12">
        <v>451.2</v>
      </c>
      <c r="H21" s="3">
        <v>36</v>
      </c>
      <c r="I21" s="8">
        <f t="shared" si="0"/>
        <v>4</v>
      </c>
      <c r="J21" s="7">
        <f t="shared" si="1"/>
        <v>86.199999999999989</v>
      </c>
      <c r="K21" s="11">
        <v>45356</v>
      </c>
    </row>
    <row r="22" spans="1:11" ht="19.5" thickBot="1" x14ac:dyDescent="0.3">
      <c r="A22" s="3">
        <v>4</v>
      </c>
      <c r="B22" s="3" t="s">
        <v>17</v>
      </c>
      <c r="C22" s="3" t="s">
        <v>20</v>
      </c>
      <c r="D22" s="3" t="s">
        <v>13</v>
      </c>
      <c r="E22" s="14">
        <v>199</v>
      </c>
      <c r="F22" s="8">
        <v>12</v>
      </c>
      <c r="G22" s="12">
        <v>245.5</v>
      </c>
      <c r="H22" s="3">
        <v>12</v>
      </c>
      <c r="I22" s="8">
        <f t="shared" si="0"/>
        <v>0</v>
      </c>
      <c r="J22" s="7">
        <f t="shared" si="1"/>
        <v>46.5</v>
      </c>
      <c r="K22" s="11">
        <v>45400</v>
      </c>
    </row>
    <row r="23" spans="1:11" ht="19.5" hidden="1" thickBot="1" x14ac:dyDescent="0.3">
      <c r="A23" s="3">
        <v>5</v>
      </c>
      <c r="B23" s="3" t="s">
        <v>21</v>
      </c>
      <c r="C23" s="3" t="s">
        <v>22</v>
      </c>
      <c r="D23" s="3" t="s">
        <v>23</v>
      </c>
      <c r="E23" s="14">
        <v>69</v>
      </c>
      <c r="F23" s="8">
        <v>32</v>
      </c>
      <c r="G23" s="12">
        <v>89.9</v>
      </c>
      <c r="H23" s="3">
        <v>11</v>
      </c>
      <c r="I23" s="8">
        <f t="shared" si="0"/>
        <v>21</v>
      </c>
      <c r="J23" s="7">
        <f t="shared" si="1"/>
        <v>20.900000000000006</v>
      </c>
      <c r="K23" s="11">
        <v>45439</v>
      </c>
    </row>
    <row r="24" spans="1:11" ht="19.5" hidden="1" thickBot="1" x14ac:dyDescent="0.3">
      <c r="A24" s="3">
        <v>6</v>
      </c>
      <c r="B24" s="3" t="s">
        <v>11</v>
      </c>
      <c r="C24" s="3" t="s">
        <v>24</v>
      </c>
      <c r="D24" s="3" t="s">
        <v>25</v>
      </c>
      <c r="E24" s="14">
        <v>125</v>
      </c>
      <c r="F24" s="8">
        <v>24</v>
      </c>
      <c r="G24" s="12">
        <v>155.9</v>
      </c>
      <c r="H24" s="3">
        <v>20</v>
      </c>
      <c r="I24" s="8">
        <f t="shared" si="0"/>
        <v>4</v>
      </c>
      <c r="J24" s="7">
        <f t="shared" si="1"/>
        <v>30.900000000000006</v>
      </c>
      <c r="K24" s="11">
        <v>45453</v>
      </c>
    </row>
    <row r="25" spans="1:11" ht="19.5" hidden="1" thickBot="1" x14ac:dyDescent="0.3">
      <c r="A25" s="3">
        <v>7</v>
      </c>
      <c r="B25" s="6" t="s">
        <v>26</v>
      </c>
      <c r="C25" s="3" t="s">
        <v>27</v>
      </c>
      <c r="D25" s="3" t="s">
        <v>28</v>
      </c>
      <c r="E25" s="14">
        <v>65</v>
      </c>
      <c r="F25" s="8">
        <v>37</v>
      </c>
      <c r="G25" s="12">
        <v>77.989999999999995</v>
      </c>
      <c r="H25" s="3">
        <v>34</v>
      </c>
      <c r="I25" s="8">
        <f t="shared" si="0"/>
        <v>3</v>
      </c>
      <c r="J25" s="7">
        <f t="shared" si="1"/>
        <v>12.989999999999995</v>
      </c>
      <c r="K25" s="11">
        <v>45494</v>
      </c>
    </row>
    <row r="26" spans="1:11" ht="19.5" hidden="1" thickBot="1" x14ac:dyDescent="0.3">
      <c r="A26" s="3">
        <v>8</v>
      </c>
      <c r="B26" s="9" t="s">
        <v>29</v>
      </c>
      <c r="C26" s="3" t="s">
        <v>36</v>
      </c>
      <c r="D26" s="3" t="s">
        <v>37</v>
      </c>
      <c r="E26" s="14">
        <v>89</v>
      </c>
      <c r="F26" s="8">
        <v>50</v>
      </c>
      <c r="G26" s="12">
        <v>129</v>
      </c>
      <c r="H26" s="8">
        <v>45</v>
      </c>
      <c r="I26" s="8">
        <f t="shared" si="0"/>
        <v>5</v>
      </c>
      <c r="J26" s="7">
        <f t="shared" si="1"/>
        <v>40</v>
      </c>
      <c r="K26" s="11">
        <v>45518</v>
      </c>
    </row>
    <row r="27" spans="1:11" ht="19.5" hidden="1" thickBot="1" x14ac:dyDescent="0.3">
      <c r="A27" s="3">
        <v>9</v>
      </c>
      <c r="B27" s="9" t="s">
        <v>30</v>
      </c>
      <c r="C27" s="3" t="s">
        <v>38</v>
      </c>
      <c r="D27" s="3" t="s">
        <v>39</v>
      </c>
      <c r="E27" s="14">
        <v>47</v>
      </c>
      <c r="F27" s="8">
        <v>60</v>
      </c>
      <c r="G27" s="12">
        <v>55</v>
      </c>
      <c r="H27" s="8">
        <v>58</v>
      </c>
      <c r="I27" s="8">
        <f t="shared" si="0"/>
        <v>2</v>
      </c>
      <c r="J27" s="7">
        <f t="shared" si="1"/>
        <v>8</v>
      </c>
      <c r="K27" s="11">
        <v>45538</v>
      </c>
    </row>
    <row r="28" spans="1:11" ht="19.5" hidden="1" thickBot="1" x14ac:dyDescent="0.3">
      <c r="A28" s="3">
        <v>10</v>
      </c>
      <c r="B28" s="9" t="s">
        <v>40</v>
      </c>
      <c r="C28" s="3" t="s">
        <v>41</v>
      </c>
      <c r="D28" s="3" t="s">
        <v>37</v>
      </c>
      <c r="E28" s="14">
        <v>780</v>
      </c>
      <c r="F28" s="8">
        <v>8</v>
      </c>
      <c r="G28" s="12">
        <v>950</v>
      </c>
      <c r="H28" s="8">
        <v>7</v>
      </c>
      <c r="I28" s="8">
        <f t="shared" si="0"/>
        <v>1</v>
      </c>
      <c r="J28" s="7">
        <f t="shared" si="1"/>
        <v>170</v>
      </c>
      <c r="K28" s="11">
        <v>45590</v>
      </c>
    </row>
    <row r="29" spans="1:11" ht="19.5" hidden="1" thickBot="1" x14ac:dyDescent="0.3">
      <c r="A29" s="3">
        <v>11</v>
      </c>
      <c r="B29" s="9" t="s">
        <v>31</v>
      </c>
      <c r="C29" s="3" t="s">
        <v>42</v>
      </c>
      <c r="D29" s="3" t="s">
        <v>43</v>
      </c>
      <c r="E29" s="14">
        <v>210</v>
      </c>
      <c r="F29" s="8">
        <v>25</v>
      </c>
      <c r="G29" s="12">
        <v>289</v>
      </c>
      <c r="H29" s="8">
        <v>22</v>
      </c>
      <c r="I29" s="8">
        <f t="shared" si="0"/>
        <v>3</v>
      </c>
      <c r="J29" s="7">
        <f t="shared" si="1"/>
        <v>79</v>
      </c>
      <c r="K29" s="11">
        <v>45608</v>
      </c>
    </row>
    <row r="30" spans="1:11" ht="19.5" hidden="1" thickBot="1" x14ac:dyDescent="0.3">
      <c r="A30" s="3">
        <v>12</v>
      </c>
      <c r="B30" s="9" t="s">
        <v>32</v>
      </c>
      <c r="C30" s="3" t="s">
        <v>44</v>
      </c>
      <c r="D30" s="3" t="s">
        <v>37</v>
      </c>
      <c r="E30" s="14">
        <v>320</v>
      </c>
      <c r="F30" s="8">
        <v>15</v>
      </c>
      <c r="G30" s="12">
        <v>399</v>
      </c>
      <c r="H30" s="8">
        <v>12</v>
      </c>
      <c r="I30" s="8">
        <f t="shared" si="0"/>
        <v>3</v>
      </c>
      <c r="J30" s="7">
        <f t="shared" si="1"/>
        <v>79</v>
      </c>
      <c r="K30" s="11">
        <v>45656</v>
      </c>
    </row>
    <row r="31" spans="1:11" ht="19.5" hidden="1" thickBot="1" x14ac:dyDescent="0.3">
      <c r="A31" s="3">
        <v>13</v>
      </c>
      <c r="B31" s="9" t="s">
        <v>33</v>
      </c>
      <c r="C31" s="3" t="s">
        <v>45</v>
      </c>
      <c r="D31" s="3" t="s">
        <v>46</v>
      </c>
      <c r="E31" s="14">
        <v>450</v>
      </c>
      <c r="F31" s="8">
        <v>18</v>
      </c>
      <c r="G31" s="12">
        <v>550</v>
      </c>
      <c r="H31" s="8">
        <v>16</v>
      </c>
      <c r="I31" s="8">
        <f t="shared" si="0"/>
        <v>2</v>
      </c>
      <c r="J31" s="7">
        <f t="shared" si="1"/>
        <v>100</v>
      </c>
      <c r="K31" s="11">
        <v>45306</v>
      </c>
    </row>
    <row r="32" spans="1:11" ht="19.5" hidden="1" thickBot="1" x14ac:dyDescent="0.3">
      <c r="A32" s="3">
        <v>14</v>
      </c>
      <c r="B32" s="9" t="s">
        <v>34</v>
      </c>
      <c r="C32" s="3" t="s">
        <v>47</v>
      </c>
      <c r="D32" s="3" t="s">
        <v>48</v>
      </c>
      <c r="E32" s="14">
        <v>185</v>
      </c>
      <c r="F32" s="8">
        <v>30</v>
      </c>
      <c r="G32" s="12">
        <v>240</v>
      </c>
      <c r="H32" s="8">
        <v>28</v>
      </c>
      <c r="I32" s="8">
        <f t="shared" si="0"/>
        <v>2</v>
      </c>
      <c r="J32" s="7">
        <f t="shared" si="1"/>
        <v>55</v>
      </c>
      <c r="K32" s="11">
        <v>45344</v>
      </c>
    </row>
    <row r="33" spans="1:11" ht="19.5" hidden="1" thickBot="1" x14ac:dyDescent="0.3">
      <c r="A33" s="3">
        <v>15</v>
      </c>
      <c r="B33" s="9" t="s">
        <v>35</v>
      </c>
      <c r="C33" s="3" t="s">
        <v>49</v>
      </c>
      <c r="D33" s="3" t="s">
        <v>50</v>
      </c>
      <c r="E33" s="14">
        <v>620</v>
      </c>
      <c r="F33" s="8">
        <v>12</v>
      </c>
      <c r="G33" s="12">
        <v>750</v>
      </c>
      <c r="H33" s="8">
        <v>10</v>
      </c>
      <c r="I33" s="8">
        <f t="shared" si="0"/>
        <v>2</v>
      </c>
      <c r="J33" s="7">
        <f t="shared" si="1"/>
        <v>130</v>
      </c>
      <c r="K33" s="11">
        <v>45356</v>
      </c>
    </row>
    <row r="34" spans="1:11" ht="19.5" hidden="1" thickBot="1" x14ac:dyDescent="0.3">
      <c r="A34" s="3">
        <v>16</v>
      </c>
      <c r="B34" s="9" t="s">
        <v>51</v>
      </c>
      <c r="C34" s="3" t="s">
        <v>52</v>
      </c>
      <c r="D34" s="3" t="s">
        <v>39</v>
      </c>
      <c r="E34" s="14">
        <v>220</v>
      </c>
      <c r="F34" s="8">
        <v>14</v>
      </c>
      <c r="G34" s="12">
        <v>290</v>
      </c>
      <c r="H34" s="8">
        <v>13</v>
      </c>
      <c r="I34" s="8">
        <f t="shared" si="0"/>
        <v>1</v>
      </c>
      <c r="J34" s="7">
        <f t="shared" si="1"/>
        <v>70</v>
      </c>
      <c r="K34" s="11">
        <v>45400</v>
      </c>
    </row>
    <row r="35" spans="1:11" ht="19.5" hidden="1" thickBot="1" x14ac:dyDescent="0.3">
      <c r="A35" s="10">
        <v>17</v>
      </c>
      <c r="B35" s="10" t="s">
        <v>53</v>
      </c>
      <c r="C35" s="10" t="s">
        <v>54</v>
      </c>
      <c r="D35" s="10" t="s">
        <v>55</v>
      </c>
      <c r="E35" s="13">
        <v>95</v>
      </c>
      <c r="F35" s="10">
        <v>40</v>
      </c>
      <c r="G35" s="13">
        <v>120</v>
      </c>
      <c r="H35" s="10">
        <v>38</v>
      </c>
      <c r="I35" s="8">
        <f t="shared" si="0"/>
        <v>2</v>
      </c>
      <c r="J35" s="7">
        <f t="shared" si="1"/>
        <v>25</v>
      </c>
      <c r="K35" s="11">
        <v>45439</v>
      </c>
    </row>
    <row r="36" spans="1:11" ht="19.5" hidden="1" thickBot="1" x14ac:dyDescent="0.3">
      <c r="A36" s="10">
        <v>18</v>
      </c>
      <c r="B36" s="10" t="s">
        <v>11</v>
      </c>
      <c r="C36" s="10" t="s">
        <v>56</v>
      </c>
      <c r="D36" s="10" t="s">
        <v>57</v>
      </c>
      <c r="E36" s="13">
        <v>86</v>
      </c>
      <c r="F36" s="10">
        <v>35</v>
      </c>
      <c r="G36" s="13">
        <v>115</v>
      </c>
      <c r="H36" s="10">
        <v>32</v>
      </c>
      <c r="I36" s="8">
        <f t="shared" si="0"/>
        <v>3</v>
      </c>
      <c r="J36" s="7">
        <f t="shared" si="1"/>
        <v>29</v>
      </c>
      <c r="K36" s="11">
        <v>45453</v>
      </c>
    </row>
    <row r="37" spans="1:11" ht="19.5" hidden="1" thickBot="1" x14ac:dyDescent="0.3">
      <c r="A37" s="10">
        <v>19</v>
      </c>
      <c r="B37" s="10" t="s">
        <v>14</v>
      </c>
      <c r="C37" s="10" t="s">
        <v>58</v>
      </c>
      <c r="D37" s="10" t="s">
        <v>16</v>
      </c>
      <c r="E37" s="13">
        <v>92</v>
      </c>
      <c r="F37" s="10">
        <v>40</v>
      </c>
      <c r="G37" s="13">
        <v>110</v>
      </c>
      <c r="H37" s="10">
        <v>36</v>
      </c>
      <c r="I37" s="8">
        <f t="shared" si="0"/>
        <v>4</v>
      </c>
      <c r="J37" s="7">
        <f t="shared" si="1"/>
        <v>18</v>
      </c>
      <c r="K37" s="11">
        <v>45494</v>
      </c>
    </row>
    <row r="38" spans="1:11" ht="19.5" hidden="1" thickBot="1" x14ac:dyDescent="0.3">
      <c r="A38" s="10">
        <v>20</v>
      </c>
      <c r="B38" s="10" t="s">
        <v>17</v>
      </c>
      <c r="C38" s="10" t="s">
        <v>59</v>
      </c>
      <c r="D38" s="10" t="s">
        <v>37</v>
      </c>
      <c r="E38" s="13">
        <v>440</v>
      </c>
      <c r="F38" s="10">
        <v>20</v>
      </c>
      <c r="G38" s="13">
        <v>520</v>
      </c>
      <c r="H38" s="10">
        <v>18</v>
      </c>
      <c r="I38" s="8">
        <f t="shared" si="0"/>
        <v>2</v>
      </c>
      <c r="J38" s="7">
        <f t="shared" si="1"/>
        <v>80</v>
      </c>
      <c r="K38" s="11">
        <v>45518</v>
      </c>
    </row>
    <row r="40" spans="1:11" ht="18.75" x14ac:dyDescent="0.25">
      <c r="E40" s="16"/>
    </row>
    <row r="41" spans="1:11" ht="18.75" x14ac:dyDescent="0.25">
      <c r="E41" s="23"/>
      <c r="F41" s="17"/>
      <c r="G41" s="17"/>
    </row>
    <row r="42" spans="1:11" ht="18.75" x14ac:dyDescent="0.25">
      <c r="E42" s="16"/>
    </row>
    <row r="43" spans="1:11" ht="18.75" x14ac:dyDescent="0.25">
      <c r="E43" s="16"/>
    </row>
    <row r="44" spans="1:11" ht="18.75" x14ac:dyDescent="0.25">
      <c r="E44" s="16"/>
    </row>
    <row r="45" spans="1:11" ht="18.75" x14ac:dyDescent="0.25">
      <c r="E45" s="16"/>
    </row>
    <row r="46" spans="1:11" ht="18.75" x14ac:dyDescent="0.25">
      <c r="E46" s="16"/>
    </row>
    <row r="47" spans="1:11" ht="18.75" x14ac:dyDescent="0.25">
      <c r="E47" s="16"/>
    </row>
    <row r="48" spans="1:11" ht="18.75" x14ac:dyDescent="0.25">
      <c r="E48" s="16"/>
    </row>
    <row r="49" spans="2:5" ht="18.75" x14ac:dyDescent="0.25">
      <c r="E49" s="16"/>
    </row>
    <row r="50" spans="2:5" ht="18.75" x14ac:dyDescent="0.25">
      <c r="E50" s="16"/>
    </row>
    <row r="51" spans="2:5" ht="18.75" x14ac:dyDescent="0.25">
      <c r="E51" s="16"/>
    </row>
    <row r="52" spans="2:5" ht="18.75" x14ac:dyDescent="0.25">
      <c r="E52" s="16"/>
    </row>
    <row r="53" spans="2:5" ht="18.75" x14ac:dyDescent="0.25">
      <c r="B53" s="17"/>
      <c r="C53" s="18"/>
    </row>
    <row r="54" spans="2:5" x14ac:dyDescent="0.25">
      <c r="B54" s="17"/>
    </row>
    <row r="55" spans="2:5" ht="18.75" x14ac:dyDescent="0.25">
      <c r="B55" s="21"/>
      <c r="C55" s="21"/>
    </row>
    <row r="56" spans="2:5" ht="18.75" x14ac:dyDescent="0.25">
      <c r="B56" s="17"/>
      <c r="C56" s="18"/>
    </row>
    <row r="57" spans="2:5" ht="18.75" x14ac:dyDescent="0.25">
      <c r="B57" s="17"/>
      <c r="C57" s="18"/>
    </row>
    <row r="58" spans="2:5" ht="18.75" x14ac:dyDescent="0.25">
      <c r="B58" s="17"/>
      <c r="C58" s="18"/>
    </row>
    <row r="59" spans="2:5" ht="18.75" x14ac:dyDescent="0.25">
      <c r="B59" s="17"/>
      <c r="C59" s="18"/>
    </row>
    <row r="60" spans="2:5" ht="18.75" x14ac:dyDescent="0.25">
      <c r="B60" s="17"/>
      <c r="C60" s="18"/>
    </row>
    <row r="61" spans="2:5" x14ac:dyDescent="0.25">
      <c r="B61" s="17"/>
    </row>
    <row r="62" spans="2:5" x14ac:dyDescent="0.25">
      <c r="B6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Основной</vt:lpstr>
      <vt:lpstr>Основной 2.1</vt:lpstr>
      <vt:lpstr>Основной 2.2</vt:lpstr>
      <vt:lpstr>Основной 2.3</vt:lpstr>
      <vt:lpstr>Основной 2.4</vt:lpstr>
      <vt:lpstr>Основной 2.5</vt:lpstr>
      <vt:lpstr>'Основной 2.4'!Критерии</vt:lpstr>
      <vt:lpstr>'Основной 2.5'!Критерии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Пестов Степан Иванович</cp:lastModifiedBy>
  <dcterms:created xsi:type="dcterms:W3CDTF">2015-06-05T18:19:34Z</dcterms:created>
  <dcterms:modified xsi:type="dcterms:W3CDTF">2025-11-28T00:30:33Z</dcterms:modified>
</cp:coreProperties>
</file>