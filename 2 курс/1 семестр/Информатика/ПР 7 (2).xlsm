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ЭтаКнига"/>
  <mc:AlternateContent xmlns:mc="http://schemas.openxmlformats.org/markup-compatibility/2006">
    <mc:Choice Requires="x15">
      <x15ac:absPath xmlns:x15ac="http://schemas.microsoft.com/office/spreadsheetml/2010/11/ac" url="F:\2 курс ВятГу\Информатика\"/>
    </mc:Choice>
  </mc:AlternateContent>
  <xr:revisionPtr revIDLastSave="0" documentId="13_ncr:1_{5966AEB7-67AD-4258-9428-80A80EBCCE1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  <sheet name="Лист2" sheetId="2" r:id="rId2"/>
    <sheet name="Лист3" sheetId="3" r:id="rId3"/>
    <sheet name="Лист4" sheetId="6" r:id="rId4"/>
    <sheet name="Лист5" sheetId="8" r:id="rId5"/>
    <sheet name="Лист6" sheetId="9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2" i="1"/>
  <c r="G2" i="1"/>
  <c r="G11" i="1"/>
  <c r="G3" i="1"/>
  <c r="G4" i="1"/>
  <c r="G5" i="1"/>
  <c r="G6" i="1"/>
  <c r="G7" i="1"/>
  <c r="G8" i="1"/>
  <c r="G9" i="1"/>
  <c r="G10" i="1"/>
  <c r="F3" i="1"/>
  <c r="F4" i="1"/>
  <c r="F5" i="1"/>
  <c r="F6" i="1"/>
  <c r="F7" i="1"/>
  <c r="F8" i="1"/>
  <c r="F9" i="1"/>
  <c r="F10" i="1"/>
  <c r="F11" i="1"/>
  <c r="F2" i="1"/>
  <c r="E3" i="9" a="1"/>
  <c r="E7" i="9" a="1"/>
  <c r="E4" i="9" a="1"/>
  <c r="E6" i="9" a="1"/>
  <c r="E5" i="9" a="1"/>
  <c r="E2" i="9" a="1"/>
  <c r="A1" i="8" a="1"/>
  <c r="E5" i="9" l="1"/>
  <c r="E6" i="9"/>
  <c r="E4" i="9"/>
  <c r="E7" i="9"/>
  <c r="E3" i="9"/>
  <c r="E2" i="9"/>
  <c r="A1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<sst xmlns="http://schemas.openxmlformats.org/spreadsheetml/2006/main" count="46" uniqueCount="36">
  <si>
    <t>№ студ билета</t>
  </si>
  <si>
    <t>ФИО</t>
  </si>
  <si>
    <t>Курс</t>
  </si>
  <si>
    <t>Специальность</t>
  </si>
  <si>
    <t>Группа</t>
  </si>
  <si>
    <t>Дата рождения</t>
  </si>
  <si>
    <t>Номер телефона</t>
  </si>
  <si>
    <t>Кочеткова Елизавета Андреевна</t>
  </si>
  <si>
    <t>Гуляев Олег Владиславович</t>
  </si>
  <si>
    <t>Кириллова Василиса Данииловна</t>
  </si>
  <si>
    <t>Зубова Екатерина Константиновна</t>
  </si>
  <si>
    <t>Леонова Александра Ярославовна</t>
  </si>
  <si>
    <t>Соколов Руслан Артёмович</t>
  </si>
  <si>
    <t>Казанцева Таисия Матвеевна</t>
  </si>
  <si>
    <t>Кузнецов Роман Денисович</t>
  </si>
  <si>
    <t>Ильин Алексей Ибрагимович</t>
  </si>
  <si>
    <t>Андреев Александр Тимофеевич</t>
  </si>
  <si>
    <t>ИСП</t>
  </si>
  <si>
    <t>ЮР</t>
  </si>
  <si>
    <t>Зк</t>
  </si>
  <si>
    <t>ПСО</t>
  </si>
  <si>
    <t>МР</t>
  </si>
  <si>
    <t>Фк</t>
  </si>
  <si>
    <t>ДО</t>
  </si>
  <si>
    <t>ПНК</t>
  </si>
  <si>
    <t>День</t>
  </si>
  <si>
    <t>Сон (ч)</t>
  </si>
  <si>
    <t>Пары</t>
  </si>
  <si>
    <t>Дедлайны</t>
  </si>
  <si>
    <t>Индекс</t>
  </si>
  <si>
    <t>Пн</t>
  </si>
  <si>
    <t>Вт</t>
  </si>
  <si>
    <t>Ср</t>
  </si>
  <si>
    <t>Чт</t>
  </si>
  <si>
    <t>Пт</t>
  </si>
  <si>
    <t>Сб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</si>
</sst>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  <charset val="204"/>
    </font>
    <font>
      <b/>
      <sz val="14"/>
      <color rgb="FF0F1115"/>
      <name val="Times New Roman"/>
      <family val="1"/>
      <charset val="204"/>
    </font>
    <font>
      <sz val="11"/>
      <color rgb="FF0F1115"/>
      <name val="Segoe UI"/>
      <family val="2"/>
      <charset val="204"/>
    </font>
    <font>
      <sz val="11"/>
      <color rgb="FF0F1115"/>
      <name val="Consolas"/>
      <family val="3"/>
      <charset val="204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</font>
    <font>
      <sz val="11"/>
      <color rgb="FF0A0A0A"/>
      <name val="Arial Unicode MS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right"/>
    </xf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7" fillId="0" borderId="0" xfId="0" applyFont="1" applyAlignment="1">
      <alignment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14" fontId="8" fillId="0" borderId="1" xfId="0" applyNumberFormat="1" applyFont="1" applyBorder="1"/>
    <xf numFmtId="0" fontId="3" fillId="0" borderId="1" xfId="0" applyFont="1" applyBorder="1"/>
    <xf numFmtId="0" fontId="1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3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G11"/>
  <sheetViews>
    <sheetView tabSelected="1" workbookViewId="0">
      <selection activeCell="J4" sqref="J4"/>
    </sheetView>
  </sheetViews>
  <sheetFormatPr defaultRowHeight="15"/>
  <cols>
    <col min="1" max="1" width="10" bestFit="1" customWidth="1"/>
    <col min="2" max="2" width="33" bestFit="1" customWidth="1"/>
    <col min="3" max="3" width="9.5703125" customWidth="1"/>
    <col min="4" max="4" width="22.140625" customWidth="1"/>
    <col min="5" max="5" width="11.5703125" customWidth="1"/>
    <col min="6" max="6" width="13.42578125" bestFit="1" customWidth="1"/>
    <col min="7" max="7" width="22" customWidth="1"/>
  </cols>
  <sheetData>
    <row r="1" spans="1:7" ht="41.25" customHeight="1">
      <c r="A1" s="11" t="s">
        <v>0</v>
      </c>
      <c r="B1" s="11" t="s">
        <v>1</v>
      </c>
      <c r="C1" s="11" t="s">
        <v>2</v>
      </c>
      <c r="D1" s="12" t="s">
        <v>3</v>
      </c>
      <c r="E1" s="11" t="s">
        <v>4</v>
      </c>
      <c r="F1" s="11" t="s">
        <v>5</v>
      </c>
      <c r="G1" s="11" t="s">
        <v>6</v>
      </c>
    </row>
    <row r="2" spans="1:7" ht="16.5">
      <c r="A2" s="7">
        <v>111111</v>
      </c>
      <c r="B2" s="7" t="s">
        <v>7</v>
      </c>
      <c r="C2" s="7">
        <v>1</v>
      </c>
      <c r="D2" s="7" t="s">
        <v>17</v>
      </c>
      <c r="E2" s="8" t="str">
        <f ca="1">D2&amp;"-"&amp;C2&amp;"0"&amp;RANDBETWEEN(1,5)</f>
        <v>ИСП-101</v>
      </c>
      <c r="F2" s="9">
        <f ca="1">RANDBETWEEN(DATE(2010,1,1),DATE(2025,12,31))</f>
        <v>44505</v>
      </c>
      <c r="G2" s="10" t="str">
        <f ca="1">"+7"&amp;TEXT(RANDBETWEEN(1000000000,9999999999),"0")</f>
        <v>+71863086139</v>
      </c>
    </row>
    <row r="3" spans="1:7" ht="16.5">
      <c r="A3" s="7">
        <v>231312</v>
      </c>
      <c r="B3" s="7" t="s">
        <v>8</v>
      </c>
      <c r="C3" s="7">
        <v>1</v>
      </c>
      <c r="D3" s="7" t="s">
        <v>18</v>
      </c>
      <c r="E3" s="8" t="str">
        <f t="shared" ref="E3:E11" ca="1" si="0">D3&amp;"-"&amp;C3&amp;"0"&amp;RANDBETWEEN(1,5)</f>
        <v>ЮР-101</v>
      </c>
      <c r="F3" s="9">
        <f t="shared" ref="F3:F11" ca="1" si="1">RANDBETWEEN(DATE(2010,1,1),DATE(2025,12,31))</f>
        <v>44901</v>
      </c>
      <c r="G3" s="10" t="str">
        <f t="shared" ref="G2:G11" ca="1" si="2">"+7"&amp;TEXT(RANDBETWEEN(1000000000,9999999999),"0")</f>
        <v>+76789842556</v>
      </c>
    </row>
    <row r="4" spans="1:7" ht="16.5">
      <c r="A4" s="7">
        <v>123354</v>
      </c>
      <c r="B4" s="7" t="s">
        <v>9</v>
      </c>
      <c r="C4" s="7">
        <v>3</v>
      </c>
      <c r="D4" s="7" t="s">
        <v>19</v>
      </c>
      <c r="E4" s="8" t="str">
        <f t="shared" ca="1" si="0"/>
        <v>Зк-304</v>
      </c>
      <c r="F4" s="9">
        <f t="shared" ca="1" si="1"/>
        <v>40300</v>
      </c>
      <c r="G4" s="10" t="str">
        <f t="shared" ca="1" si="2"/>
        <v>+78803688740</v>
      </c>
    </row>
    <row r="5" spans="1:7" ht="16.5">
      <c r="A5" s="7">
        <v>576363</v>
      </c>
      <c r="B5" s="7" t="s">
        <v>10</v>
      </c>
      <c r="C5" s="7">
        <v>4</v>
      </c>
      <c r="D5" s="7" t="s">
        <v>20</v>
      </c>
      <c r="E5" s="8" t="str">
        <f t="shared" ca="1" si="0"/>
        <v>ПСО-401</v>
      </c>
      <c r="F5" s="9">
        <f t="shared" ca="1" si="1"/>
        <v>43742</v>
      </c>
      <c r="G5" s="10" t="str">
        <f t="shared" ca="1" si="2"/>
        <v>+71964341497</v>
      </c>
    </row>
    <row r="6" spans="1:7" ht="16.5">
      <c r="A6" s="7">
        <v>465732</v>
      </c>
      <c r="B6" s="7" t="s">
        <v>11</v>
      </c>
      <c r="C6" s="7">
        <v>1</v>
      </c>
      <c r="D6" s="7" t="s">
        <v>21</v>
      </c>
      <c r="E6" s="8" t="str">
        <f t="shared" ca="1" si="0"/>
        <v>МР-103</v>
      </c>
      <c r="F6" s="9">
        <f t="shared" ca="1" si="1"/>
        <v>43948</v>
      </c>
      <c r="G6" s="10" t="str">
        <f t="shared" ca="1" si="2"/>
        <v>+79693231738</v>
      </c>
    </row>
    <row r="7" spans="1:7" ht="16.5">
      <c r="A7" s="7">
        <v>132156</v>
      </c>
      <c r="B7" s="7" t="s">
        <v>12</v>
      </c>
      <c r="C7" s="7">
        <v>2</v>
      </c>
      <c r="D7" s="7" t="s">
        <v>22</v>
      </c>
      <c r="E7" s="8" t="str">
        <f t="shared" ca="1" si="0"/>
        <v>Фк-201</v>
      </c>
      <c r="F7" s="9">
        <f t="shared" ca="1" si="1"/>
        <v>40553</v>
      </c>
      <c r="G7" s="10" t="str">
        <f t="shared" ca="1" si="2"/>
        <v>+76434454126</v>
      </c>
    </row>
    <row r="8" spans="1:7" ht="16.5">
      <c r="A8" s="7">
        <v>324734</v>
      </c>
      <c r="B8" s="7" t="s">
        <v>13</v>
      </c>
      <c r="C8" s="7">
        <v>2</v>
      </c>
      <c r="D8" s="7" t="s">
        <v>23</v>
      </c>
      <c r="E8" s="8" t="str">
        <f t="shared" ca="1" si="0"/>
        <v>ДО-205</v>
      </c>
      <c r="F8" s="9">
        <f t="shared" ca="1" si="1"/>
        <v>45217</v>
      </c>
      <c r="G8" s="10" t="str">
        <f t="shared" ca="1" si="2"/>
        <v>+71962144287</v>
      </c>
    </row>
    <row r="9" spans="1:7" ht="16.5">
      <c r="A9" s="7">
        <v>457946</v>
      </c>
      <c r="B9" s="7" t="s">
        <v>14</v>
      </c>
      <c r="C9" s="7">
        <v>4</v>
      </c>
      <c r="D9" s="7" t="s">
        <v>24</v>
      </c>
      <c r="E9" s="8" t="str">
        <f t="shared" ca="1" si="0"/>
        <v>ПНК-401</v>
      </c>
      <c r="F9" s="9">
        <f t="shared" ca="1" si="1"/>
        <v>44892</v>
      </c>
      <c r="G9" s="10" t="str">
        <f t="shared" ca="1" si="2"/>
        <v>+78180798559</v>
      </c>
    </row>
    <row r="10" spans="1:7" ht="16.5">
      <c r="A10" s="7">
        <v>146635</v>
      </c>
      <c r="B10" s="7" t="s">
        <v>15</v>
      </c>
      <c r="C10" s="7">
        <v>3</v>
      </c>
      <c r="D10" s="7" t="s">
        <v>19</v>
      </c>
      <c r="E10" s="8" t="str">
        <f t="shared" ca="1" si="0"/>
        <v>Зк-305</v>
      </c>
      <c r="F10" s="9">
        <f t="shared" ca="1" si="1"/>
        <v>40804</v>
      </c>
      <c r="G10" s="10" t="str">
        <f ca="1">"+7"&amp;TEXT(RANDBETWEEN(1000000000,9999999999),"0")</f>
        <v>+71506812366</v>
      </c>
    </row>
    <row r="11" spans="1:7" ht="16.5">
      <c r="A11" s="7">
        <v>4262345</v>
      </c>
      <c r="B11" s="7" t="s">
        <v>16</v>
      </c>
      <c r="C11" s="7">
        <v>1</v>
      </c>
      <c r="D11" s="7" t="s">
        <v>17</v>
      </c>
      <c r="E11" s="8" t="str">
        <f t="shared" ca="1" si="0"/>
        <v>ИСП-103</v>
      </c>
      <c r="F11" s="9">
        <f t="shared" ca="1" si="1"/>
        <v>45276</v>
      </c>
      <c r="G11" s="10" t="str">
        <f t="shared" ca="1" si="2"/>
        <v>+75157906584</v>
      </c>
    </row>
  </sheetData>
  <dataValidations count="2">
    <dataValidation type="custom" allowBlank="1" showInputMessage="1" showErrorMessage="1" errorTitle="Ошибка ввода!" error="Такой номер уже существует или номер должен содержать 6 символов!" sqref="A2:A10" xr:uid="{FDD66BD2-D4FB-49E8-9C74-177CC8DFF6F2}">
      <formula1>AND(LEN(A2)=6, COUNTIF($A$2:$A$11, A2) &lt;= 1)</formula1>
    </dataValidation>
    <dataValidation type="custom" allowBlank="1" showInputMessage="1" showErrorMessage="1" sqref="G2:G11" xr:uid="{8FB94739-3EA7-47EA-9821-4B4FDB079FA9}">
      <formula1>LEN(G2)=12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F0B2D5-AB0D-4B3A-9AF7-C39DAD0AE61C}">
          <x14:formula1>
            <xm:f>Лист2!$A$1:$A$4</xm:f>
          </x14:formula1>
          <xm:sqref>C2:C11</xm:sqref>
        </x14:dataValidation>
        <x14:dataValidation type="list" allowBlank="1" showInputMessage="1" showErrorMessage="1" xr:uid="{1C9768FD-6BA8-4069-B73C-CA86BF128B8C}">
          <x14:formula1>
            <xm:f>Лист2!$B$1:$B$8</xm:f>
          </x14:formula1>
          <xm:sqref>D2:D11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C0DBF-135C-4D22-8AC3-5F8845682B94}">
  <sheetPr codeName="Лист2"/>
  <dimension ref="A1:H10"/>
  <sheetViews>
    <sheetView workbookViewId="0">
      <selection activeCell="F4" sqref="F4"/>
    </sheetView>
  </sheetViews>
  <sheetFormatPr defaultRowHeight="15"/>
  <sheetData>
    <row r="1" spans="1:8">
      <c r="A1" s="1">
        <v>1</v>
      </c>
      <c r="B1" t="s">
        <v>17</v>
      </c>
    </row>
    <row r="2" spans="1:8">
      <c r="A2" s="1">
        <v>2</v>
      </c>
      <c r="B2" t="s">
        <v>18</v>
      </c>
    </row>
    <row r="3" spans="1:8">
      <c r="A3" s="1">
        <v>3</v>
      </c>
      <c r="B3" t="s">
        <v>19</v>
      </c>
    </row>
    <row r="4" spans="1:8">
      <c r="A4" s="1">
        <v>4</v>
      </c>
      <c r="B4" t="s">
        <v>20</v>
      </c>
      <c r="D4" s="3"/>
    </row>
    <row r="5" spans="1:8">
      <c r="B5" t="s">
        <v>21</v>
      </c>
    </row>
    <row r="6" spans="1:8">
      <c r="B6" t="s">
        <v>22</v>
      </c>
      <c r="H6" s="2"/>
    </row>
    <row r="7" spans="1:8">
      <c r="B7" t="s">
        <v>23</v>
      </c>
    </row>
    <row r="8" spans="1:8">
      <c r="B8" t="s">
        <v>24</v>
      </c>
    </row>
    <row r="10" spans="1:8">
      <c r="E10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BD900-5CF6-4607-B99C-414407DDC6BE}">
  <sheetPr codeName="Лист3"/>
  <dimension ref="A1:A5"/>
  <sheetViews>
    <sheetView workbookViewId="0">
      <selection sqref="A1:A5"/>
    </sheetView>
  </sheetViews>
  <sheetFormatPr defaultRowHeight="15"/>
  <sheetData>
    <row r="1" spans="1:1">
      <c r="A1">
        <v>1</v>
      </c>
    </row>
    <row r="2" spans="1:1">
      <c r="A2">
        <v>2</v>
      </c>
    </row>
    <row r="3" spans="1:1">
      <c r="A3">
        <v>5</v>
      </c>
    </row>
    <row r="4" spans="1:1">
      <c r="A4">
        <v>3</v>
      </c>
    </row>
    <row r="5" spans="1:1">
      <c r="A5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768C0-28E6-46C9-A626-F56D5C905811}">
  <sheetPr codeName="Лист4"/>
  <dimension ref="A1:B4"/>
  <sheetViews>
    <sheetView workbookViewId="0">
      <selection activeCell="H11" sqref="H11"/>
    </sheetView>
  </sheetViews>
  <sheetFormatPr defaultRowHeight="15"/>
  <sheetData>
    <row r="1" spans="1:2">
      <c r="A1">
        <v>2</v>
      </c>
      <c r="B1">
        <v>-2</v>
      </c>
    </row>
    <row r="2" spans="1:2">
      <c r="A2">
        <v>3</v>
      </c>
      <c r="B2">
        <v>4</v>
      </c>
    </row>
    <row r="3" spans="1:2">
      <c r="A3">
        <v>8</v>
      </c>
      <c r="B3">
        <v>5</v>
      </c>
    </row>
    <row r="4" spans="1:2">
      <c r="A4">
        <v>4</v>
      </c>
      <c r="B4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A605C-1634-4DEB-BEB3-800B0AA7806A}">
  <sheetPr codeName="Лист5"/>
  <dimension ref="A1"/>
  <sheetViews>
    <sheetView workbookViewId="0"/>
  </sheetViews>
  <sheetFormatPr defaultRowHeight="15"/>
  <cols>
    <col min="1" max="1" width="12.5703125" customWidth="1"/>
  </cols>
  <sheetData>
    <row r="1" spans="1:1">
      <c r="A1" t="str" cm="1">
        <f t="array" ref="A1">ИМТ(170,80)</f>
        <v>Ожирение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7404D-5A73-441D-A7D1-40A68CF0B406}">
  <sheetPr codeName="Лист6"/>
  <dimension ref="A1:E7"/>
  <sheetViews>
    <sheetView workbookViewId="0">
      <selection activeCell="H6" sqref="H6"/>
    </sheetView>
  </sheetViews>
  <sheetFormatPr defaultRowHeight="15"/>
  <cols>
    <col min="4" max="4" width="11" customWidth="1"/>
  </cols>
  <sheetData>
    <row r="1" spans="1:5">
      <c r="A1" s="4" t="s">
        <v>25</v>
      </c>
      <c r="B1" s="4" t="s">
        <v>26</v>
      </c>
      <c r="C1" s="4" t="s">
        <v>27</v>
      </c>
      <c r="D1" s="4" t="s">
        <v>28</v>
      </c>
      <c r="E1" s="4" t="s">
        <v>29</v>
      </c>
    </row>
    <row r="2" spans="1:5">
      <c r="A2" s="5" t="s">
        <v>30</v>
      </c>
      <c r="B2" s="5">
        <v>6</v>
      </c>
      <c r="C2" s="5">
        <v>5</v>
      </c>
      <c r="D2" s="5">
        <v>2</v>
      </c>
      <c r="E2" s="6" cm="1">
        <f t="array" ref="E2">BurnoutIndex(B2,C2,D2)</f>
        <v>6</v>
      </c>
    </row>
    <row r="3" spans="1:5">
      <c r="A3" s="5" t="s">
        <v>31</v>
      </c>
      <c r="B3" s="5">
        <v>7</v>
      </c>
      <c r="C3" s="5">
        <v>3</v>
      </c>
      <c r="D3" s="5">
        <v>1</v>
      </c>
      <c r="E3" s="6" cm="1">
        <f t="array" ref="E3">BurnoutIndex(B3,C3,D3)</f>
        <v>2</v>
      </c>
    </row>
    <row r="4" spans="1:5">
      <c r="A4" s="5" t="s">
        <v>32</v>
      </c>
      <c r="B4" s="5">
        <v>5</v>
      </c>
      <c r="C4" s="5">
        <v>6</v>
      </c>
      <c r="D4" s="5">
        <v>3</v>
      </c>
      <c r="E4" s="6" cm="1">
        <f t="array" ref="E4">BurnoutIndex(B4,C4,D4)</f>
        <v>8</v>
      </c>
    </row>
    <row r="5" spans="1:5">
      <c r="A5" s="5" t="s">
        <v>33</v>
      </c>
      <c r="B5" s="5">
        <v>8</v>
      </c>
      <c r="C5" s="5">
        <v>4</v>
      </c>
      <c r="D5" s="5">
        <v>0</v>
      </c>
      <c r="E5" s="6" cm="1">
        <f t="array" ref="E5">BurnoutIndex(B5,C5,D5)</f>
        <v>2</v>
      </c>
    </row>
    <row r="6" spans="1:5">
      <c r="A6" s="5" t="s">
        <v>34</v>
      </c>
      <c r="B6" s="5">
        <v>4</v>
      </c>
      <c r="C6" s="5">
        <v>6</v>
      </c>
      <c r="D6" s="5">
        <v>2</v>
      </c>
      <c r="E6" s="6" cm="1">
        <f t="array" ref="E6">BurnoutIndex(B6,C6,D6)</f>
        <v>9</v>
      </c>
    </row>
    <row r="7" spans="1:5">
      <c r="A7" s="5" t="s">
        <v>35</v>
      </c>
      <c r="B7" s="5">
        <v>9</v>
      </c>
      <c r="C7" s="5">
        <v>2</v>
      </c>
      <c r="D7" s="5">
        <v>0</v>
      </c>
      <c r="E7" s="6" cm="1">
        <f t="array" ref="E7">BurnoutIndex(B7,C7,D7)</f>
        <v>1</v>
      </c>
    </row>
  </sheetData>
  <conditionalFormatting sqref="E2:E7">
    <cfRule type="cellIs" dxfId="2" priority="1" operator="between">
      <formula>7</formula>
      <formula>10</formula>
    </cfRule>
    <cfRule type="cellIs" dxfId="1" priority="2" operator="between">
      <formula>4</formula>
      <formula>6</formula>
    </cfRule>
    <cfRule type="cellIs" dxfId="0" priority="3" operator="between">
      <formula>0</formula>
      <formula>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Лист1</vt:lpstr>
      <vt:lpstr>Лист2</vt:lpstr>
      <vt:lpstr>Лист3</vt:lpstr>
      <vt:lpstr>Лист4</vt:lpstr>
      <vt:lpstr>Лист5</vt:lpstr>
      <vt:lpstr>Лист6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Пестов Степан Иванович</cp:lastModifiedBy>
  <dcterms:created xsi:type="dcterms:W3CDTF">2015-06-05T18:19:34Z</dcterms:created>
  <dcterms:modified xsi:type="dcterms:W3CDTF">2025-12-16T16:48:21Z</dcterms:modified>
</cp:coreProperties>
</file>